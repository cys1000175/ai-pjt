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ys.chun\Desktop\8. 징계\"/>
    </mc:Choice>
  </mc:AlternateContent>
  <xr:revisionPtr revIDLastSave="0" documentId="13_ncr:1_{DBC57421-39B4-4D6D-82F9-BF55D27D5120}" xr6:coauthVersionLast="47" xr6:coauthVersionMax="47" xr10:uidLastSave="{00000000-0000-0000-0000-000000000000}"/>
  <bookViews>
    <workbookView xWindow="-120" yWindow="-120" windowWidth="29040" windowHeight="15720" firstSheet="3" activeTab="8" xr2:uid="{00000000-000D-0000-FFFF-FFFF00000000}"/>
  </bookViews>
  <sheets>
    <sheet name="징계기록대장_2018" sheetId="1" r:id="rId1"/>
    <sheet name="징계기록대장_2019" sheetId="2" r:id="rId2"/>
    <sheet name="징계기록대장_2020" sheetId="3" r:id="rId3"/>
    <sheet name="징계기록대장_2021" sheetId="5" r:id="rId4"/>
    <sheet name="징계기록대장_2022" sheetId="6" r:id="rId5"/>
    <sheet name="징계기록대장_2023" sheetId="7" r:id="rId6"/>
    <sheet name="징계기록대장_2024" sheetId="8" r:id="rId7"/>
    <sheet name="징계기록대장_2025" sheetId="9" r:id="rId8"/>
    <sheet name="집계표(2018_2026)" sheetId="4" r:id="rId9"/>
  </sheets>
  <definedNames>
    <definedName name="_xlnm._FilterDatabase" localSheetId="8" hidden="1">'집계표(2018_2026)'!$A$7:$J$126</definedName>
    <definedName name="_xlnm.Print_Area" localSheetId="8">'집계표(2018_2026)'!$A$1:$J$125</definedName>
    <definedName name="_xlnm.Print_Area" localSheetId="0">징계기록대장_2018!$A$1:$K$22</definedName>
    <definedName name="_xlnm.Print_Area" localSheetId="1">징계기록대장_2019!$A$1:$K$36</definedName>
    <definedName name="_xlnm.Print_Area" localSheetId="2">징계기록대장_2020!$A$1:$K$29</definedName>
    <definedName name="_xlnm.Print_Area" localSheetId="3">징계기록대장_2021!$A$1:$K$35</definedName>
    <definedName name="_xlnm.Print_Area" localSheetId="4">징계기록대장_2022!$A$1:$K$15</definedName>
    <definedName name="_xlnm.Print_Area" localSheetId="5">징계기록대장_2023!$A$1:$J$15</definedName>
    <definedName name="_xlnm.Print_Area" localSheetId="6">징계기록대장_2024!$A$1:$J$6</definedName>
    <definedName name="_xlnm.Print_Area" localSheetId="7">징계기록대장_2025!$A$1:$J$6</definedName>
    <definedName name="_xlnm.Print_Titles" localSheetId="8">'집계표(2018_2026)'!$1:$6</definedName>
    <definedName name="_xlnm.Print_Titles" localSheetId="0">징계기록대장_2018!$1:$4</definedName>
    <definedName name="_xlnm.Print_Titles" localSheetId="1">징계기록대장_2019!$1:$6</definedName>
    <definedName name="_xlnm.Print_Titles" localSheetId="2">징계기록대장_2020!$1:$6</definedName>
    <definedName name="_xlnm.Print_Titles" localSheetId="3">징계기록대장_2021!$1:$6</definedName>
    <definedName name="_xlnm.Print_Titles" localSheetId="4">징계기록대장_2022!$1:$6</definedName>
    <definedName name="_xlnm.Print_Titles" localSheetId="5">징계기록대장_2023!$1:$6</definedName>
    <definedName name="_xlnm.Print_Titles" localSheetId="6">징계기록대장_2024!$1:$6</definedName>
    <definedName name="_xlnm.Print_Titles" localSheetId="7">징계기록대장_2025!$1:$6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7" i="9" l="1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M6" i="4"/>
  <c r="A200" i="4"/>
  <c r="A201" i="4"/>
  <c r="A202" i="4"/>
  <c r="A205" i="4"/>
  <c r="A198" i="4"/>
  <c r="A199" i="4"/>
  <c r="A203" i="4"/>
  <c r="A204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S6" i="4"/>
  <c r="T6" i="4"/>
  <c r="R6" i="4"/>
  <c r="Q6" i="4"/>
  <c r="P6" i="4"/>
  <c r="O6" i="4"/>
  <c r="N6" i="4"/>
  <c r="L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71" i="4"/>
  <c r="A170" i="4"/>
  <c r="A169" i="4"/>
  <c r="A168" i="4"/>
  <c r="A167" i="4"/>
  <c r="A166" i="4"/>
  <c r="U6" i="4" l="1"/>
  <c r="A206" i="4"/>
  <c r="A176" i="4"/>
  <c r="A175" i="4"/>
  <c r="A174" i="4"/>
  <c r="A173" i="4"/>
  <c r="A172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</calcChain>
</file>

<file path=xl/sharedStrings.xml><?xml version="1.0" encoding="utf-8"?>
<sst xmlns="http://schemas.openxmlformats.org/spreadsheetml/2006/main" count="2160" uniqueCount="589">
  <si>
    <r>
      <t>[</t>
    </r>
    <r>
      <rPr>
        <sz val="11"/>
        <color rgb="FF000000"/>
        <rFont val="맑은 고딕"/>
        <family val="3"/>
        <charset val="129"/>
        <scheme val="minor"/>
      </rPr>
      <t>별지서식 제</t>
    </r>
    <r>
      <rPr>
        <sz val="11"/>
        <color rgb="FF000000"/>
        <rFont val="신명조"/>
        <family val="1"/>
        <charset val="129"/>
      </rPr>
      <t>9</t>
    </r>
    <r>
      <rPr>
        <sz val="11"/>
        <color rgb="FF000000"/>
        <rFont val="맑은 고딕"/>
        <family val="3"/>
        <charset val="129"/>
        <scheme val="minor"/>
      </rPr>
      <t>호</t>
    </r>
    <r>
      <rPr>
        <sz val="11"/>
        <color rgb="FF000000"/>
        <rFont val="신명조"/>
        <family val="1"/>
        <charset val="129"/>
      </rPr>
      <t>]</t>
    </r>
  </si>
  <si>
    <t>징 계 기 록 대 장</t>
  </si>
  <si>
    <t>번호</t>
  </si>
  <si>
    <t>일 자</t>
  </si>
  <si>
    <t>소속</t>
  </si>
  <si>
    <t>직책</t>
  </si>
  <si>
    <t>성 명</t>
  </si>
  <si>
    <t>징계 사유</t>
  </si>
  <si>
    <t>징계종류</t>
  </si>
  <si>
    <t>징계일</t>
  </si>
  <si>
    <t>확인</t>
  </si>
  <si>
    <t>담당</t>
  </si>
  <si>
    <t>팀장</t>
  </si>
  <si>
    <t>신공항하이웨이</t>
    <phoneticPr fontId="6" type="noConversion"/>
  </si>
  <si>
    <t>사원</t>
    <phoneticPr fontId="6" type="noConversion"/>
  </si>
  <si>
    <t>조선희</t>
    <phoneticPr fontId="6" type="noConversion"/>
  </si>
  <si>
    <t>복무규정위반(통행료 징수 부정행위)</t>
    <phoneticPr fontId="6" type="noConversion"/>
  </si>
  <si>
    <t>감봉(10%)</t>
    <phoneticPr fontId="6" type="noConversion"/>
  </si>
  <si>
    <t>서울영업소</t>
    <phoneticPr fontId="6" type="noConversion"/>
  </si>
  <si>
    <t>사무장</t>
    <phoneticPr fontId="6" type="noConversion"/>
  </si>
  <si>
    <t>이상열</t>
    <phoneticPr fontId="6" type="noConversion"/>
  </si>
  <si>
    <t>이종민</t>
    <phoneticPr fontId="6" type="noConversion"/>
  </si>
  <si>
    <t>성희롱</t>
    <phoneticPr fontId="6" type="noConversion"/>
  </si>
  <si>
    <t>관리부실(성희롱 사건)</t>
    <phoneticPr fontId="6" type="noConversion"/>
  </si>
  <si>
    <t>감봉(5%)</t>
    <phoneticPr fontId="6" type="noConversion"/>
  </si>
  <si>
    <t>경고(서면)</t>
    <phoneticPr fontId="6" type="noConversion"/>
  </si>
  <si>
    <t>파라다이스시티</t>
    <phoneticPr fontId="6" type="noConversion"/>
  </si>
  <si>
    <t>박명춘</t>
    <phoneticPr fontId="6" type="noConversion"/>
  </si>
  <si>
    <t>소장</t>
    <phoneticPr fontId="6" type="noConversion"/>
  </si>
  <si>
    <t>박노일</t>
    <phoneticPr fontId="6" type="noConversion"/>
  </si>
  <si>
    <t>견책(시말서)</t>
    <phoneticPr fontId="6" type="noConversion"/>
  </si>
  <si>
    <t>복무규정위반(산업안전보건법 위반)</t>
    <phoneticPr fontId="6" type="noConversion"/>
  </si>
  <si>
    <t>관리부실(산업안전보건 위반 사건)</t>
    <phoneticPr fontId="6" type="noConversion"/>
  </si>
  <si>
    <t>구분</t>
    <phoneticPr fontId="6" type="noConversion"/>
  </si>
  <si>
    <t>인사위</t>
    <phoneticPr fontId="6" type="noConversion"/>
  </si>
  <si>
    <t>징계안</t>
    <phoneticPr fontId="6" type="noConversion"/>
  </si>
  <si>
    <t>마포트라팰리스</t>
    <phoneticPr fontId="6" type="noConversion"/>
  </si>
  <si>
    <t>대리</t>
    <phoneticPr fontId="6" type="noConversion"/>
  </si>
  <si>
    <t>고정관</t>
    <phoneticPr fontId="6" type="noConversion"/>
  </si>
  <si>
    <t>윤영우</t>
    <phoneticPr fontId="6" type="noConversion"/>
  </si>
  <si>
    <t>복무규정위반(근태기록 조작 부정행위)</t>
    <phoneticPr fontId="6" type="noConversion"/>
  </si>
  <si>
    <t>강등(1직급)</t>
    <phoneticPr fontId="6" type="noConversion"/>
  </si>
  <si>
    <t>롯데중앙연구소</t>
    <phoneticPr fontId="6" type="noConversion"/>
  </si>
  <si>
    <t>팀장</t>
    <phoneticPr fontId="6" type="noConversion"/>
  </si>
  <si>
    <t>정유식</t>
    <phoneticPr fontId="6" type="noConversion"/>
  </si>
  <si>
    <t>르노삼성부산공장</t>
    <phoneticPr fontId="6" type="noConversion"/>
  </si>
  <si>
    <t>성호준</t>
    <phoneticPr fontId="6" type="noConversion"/>
  </si>
  <si>
    <t>주임</t>
    <phoneticPr fontId="6" type="noConversion"/>
  </si>
  <si>
    <t>김상현</t>
    <phoneticPr fontId="6" type="noConversion"/>
  </si>
  <si>
    <t>천병욱</t>
    <phoneticPr fontId="6" type="noConversion"/>
  </si>
  <si>
    <t>수석</t>
    <phoneticPr fontId="6" type="noConversion"/>
  </si>
  <si>
    <t>오인규</t>
    <phoneticPr fontId="6" type="noConversion"/>
  </si>
  <si>
    <t>복무규정위반(외부인 무단출입)</t>
    <phoneticPr fontId="6" type="noConversion"/>
  </si>
  <si>
    <t>관리부실(보안관리 위반)</t>
    <phoneticPr fontId="6" type="noConversion"/>
  </si>
  <si>
    <t>GS동해전력</t>
    <phoneticPr fontId="6" type="noConversion"/>
  </si>
  <si>
    <t>실장</t>
    <phoneticPr fontId="6" type="noConversion"/>
  </si>
  <si>
    <t>이정화</t>
    <phoneticPr fontId="6" type="noConversion"/>
  </si>
  <si>
    <t>이상필</t>
    <phoneticPr fontId="6" type="noConversion"/>
  </si>
  <si>
    <t>복무규정위반(자금운용 부정)</t>
    <phoneticPr fontId="6" type="noConversion"/>
  </si>
  <si>
    <t>사직(퇴사)</t>
    <phoneticPr fontId="6" type="noConversion"/>
  </si>
  <si>
    <t>■ 2018년</t>
    <phoneticPr fontId="6" type="noConversion"/>
  </si>
  <si>
    <t>■ 2019년</t>
    <phoneticPr fontId="6" type="noConversion"/>
  </si>
  <si>
    <t>경기의왕영업소</t>
    <phoneticPr fontId="6" type="noConversion"/>
  </si>
  <si>
    <t>소장</t>
    <phoneticPr fontId="6" type="noConversion"/>
  </si>
  <si>
    <t>한창수</t>
    <phoneticPr fontId="6" type="noConversion"/>
  </si>
  <si>
    <t>수석</t>
    <phoneticPr fontId="6" type="noConversion"/>
  </si>
  <si>
    <t>이상호</t>
    <phoneticPr fontId="6" type="noConversion"/>
  </si>
  <si>
    <t>근로기준법위반(계약서 미작성)</t>
    <phoneticPr fontId="6" type="noConversion"/>
  </si>
  <si>
    <t>관리부실(근로기준법 위반 사건)</t>
    <phoneticPr fontId="6" type="noConversion"/>
  </si>
  <si>
    <t>견책(시말서)</t>
    <phoneticPr fontId="6" type="noConversion"/>
  </si>
  <si>
    <t>경고(서면)</t>
    <phoneticPr fontId="6" type="noConversion"/>
  </si>
  <si>
    <t>징계안</t>
    <phoneticPr fontId="6" type="noConversion"/>
  </si>
  <si>
    <t>보안주차사업부</t>
    <phoneticPr fontId="6" type="noConversion"/>
  </si>
  <si>
    <t>이사</t>
    <phoneticPr fontId="6" type="noConversion"/>
  </si>
  <si>
    <t>추귀영</t>
    <phoneticPr fontId="6" type="noConversion"/>
  </si>
  <si>
    <t>오운기</t>
    <phoneticPr fontId="6" type="noConversion"/>
  </si>
  <si>
    <t>관리부실(건양대병원 응급실 사건)</t>
    <phoneticPr fontId="6" type="noConversion"/>
  </si>
  <si>
    <t>현대모비스 (서산)</t>
    <phoneticPr fontId="6" type="noConversion"/>
  </si>
  <si>
    <t>사원</t>
    <phoneticPr fontId="6" type="noConversion"/>
  </si>
  <si>
    <t>김성일</t>
    <phoneticPr fontId="6" type="noConversion"/>
  </si>
  <si>
    <t>복무규정위반(폭언 위협)</t>
    <phoneticPr fontId="6" type="noConversion"/>
  </si>
  <si>
    <t>감봉(10%)</t>
    <phoneticPr fontId="6" type="noConversion"/>
  </si>
  <si>
    <t>센터장</t>
    <phoneticPr fontId="6" type="noConversion"/>
  </si>
  <si>
    <t>한성우</t>
    <phoneticPr fontId="6" type="noConversion"/>
  </si>
  <si>
    <t>이준배</t>
    <phoneticPr fontId="6" type="noConversion"/>
  </si>
  <si>
    <t>관리부실</t>
    <phoneticPr fontId="6" type="noConversion"/>
  </si>
  <si>
    <t>관리부실</t>
    <phoneticPr fontId="6" type="noConversion"/>
  </si>
  <si>
    <t>경고(서면)</t>
    <phoneticPr fontId="6" type="noConversion"/>
  </si>
  <si>
    <t>삼성바이오로직스(미화)</t>
    <phoneticPr fontId="6" type="noConversion"/>
  </si>
  <si>
    <t>감독</t>
    <phoneticPr fontId="6" type="noConversion"/>
  </si>
  <si>
    <t>김기범</t>
    <phoneticPr fontId="6" type="noConversion"/>
  </si>
  <si>
    <t>복무규정위반(근무 태만)</t>
    <phoneticPr fontId="6" type="noConversion"/>
  </si>
  <si>
    <t>사원</t>
    <phoneticPr fontId="6" type="noConversion"/>
  </si>
  <si>
    <t>오성준</t>
    <phoneticPr fontId="6" type="noConversion"/>
  </si>
  <si>
    <t>현준호</t>
    <phoneticPr fontId="6" type="noConversion"/>
  </si>
  <si>
    <t>고정호</t>
    <phoneticPr fontId="6" type="noConversion"/>
  </si>
  <si>
    <t>강병일</t>
    <phoneticPr fontId="6" type="noConversion"/>
  </si>
  <si>
    <t>견책(시말서)</t>
    <phoneticPr fontId="6" type="noConversion"/>
  </si>
  <si>
    <t>정보통신연구소
(미화)</t>
    <phoneticPr fontId="6" type="noConversion"/>
  </si>
  <si>
    <t>최순복</t>
    <phoneticPr fontId="6" type="noConversion"/>
  </si>
  <si>
    <t>복무규정위반(비밀유지 위반)</t>
    <phoneticPr fontId="6" type="noConversion"/>
  </si>
  <si>
    <t>인사위</t>
    <phoneticPr fontId="6" type="noConversion"/>
  </si>
  <si>
    <t>아모레사옥(미화)</t>
    <phoneticPr fontId="6" type="noConversion"/>
  </si>
  <si>
    <t>소장</t>
    <phoneticPr fontId="6" type="noConversion"/>
  </si>
  <si>
    <t>최규성</t>
    <phoneticPr fontId="6" type="noConversion"/>
  </si>
  <si>
    <t>직장내 괴롭힘</t>
    <phoneticPr fontId="6" type="noConversion"/>
  </si>
  <si>
    <t>견책(시말서)</t>
    <phoneticPr fontId="6" type="noConversion"/>
  </si>
  <si>
    <t>관리부실</t>
    <phoneticPr fontId="6" type="noConversion"/>
  </si>
  <si>
    <t>경고(서면)</t>
    <phoneticPr fontId="6" type="noConversion"/>
  </si>
  <si>
    <t>환경사업부</t>
    <phoneticPr fontId="6" type="noConversion"/>
  </si>
  <si>
    <t>수석</t>
    <phoneticPr fontId="6" type="noConversion"/>
  </si>
  <si>
    <t>백진호</t>
    <phoneticPr fontId="6" type="noConversion"/>
  </si>
  <si>
    <t>관리부실(아모레 최규성)</t>
    <phoneticPr fontId="6" type="noConversion"/>
  </si>
  <si>
    <t>삼성전자사옥(미화)</t>
    <phoneticPr fontId="6" type="noConversion"/>
  </si>
  <si>
    <t>권영보</t>
    <phoneticPr fontId="6" type="noConversion"/>
  </si>
  <si>
    <t>복무규정위반(작업수칙 위반_재물손괘)</t>
    <phoneticPr fontId="6" type="noConversion"/>
  </si>
  <si>
    <t>감독</t>
    <phoneticPr fontId="6" type="noConversion"/>
  </si>
  <si>
    <t>박종석</t>
    <phoneticPr fontId="6" type="noConversion"/>
  </si>
  <si>
    <t>소장</t>
    <phoneticPr fontId="6" type="noConversion"/>
  </si>
  <si>
    <t>이정준</t>
    <phoneticPr fontId="6" type="noConversion"/>
  </si>
  <si>
    <t>관리부실(작업수칙 위반)</t>
    <phoneticPr fontId="6" type="noConversion"/>
  </si>
  <si>
    <t>경고(서면)</t>
    <phoneticPr fontId="6" type="noConversion"/>
  </si>
  <si>
    <t>현대아산(미화)</t>
    <phoneticPr fontId="6" type="noConversion"/>
  </si>
  <si>
    <t>강신학</t>
    <phoneticPr fontId="6" type="noConversion"/>
  </si>
  <si>
    <t>환경사업부</t>
    <phoneticPr fontId="6" type="noConversion"/>
  </si>
  <si>
    <t>환경사업부</t>
    <phoneticPr fontId="6" type="noConversion"/>
  </si>
  <si>
    <t>책임</t>
    <phoneticPr fontId="6" type="noConversion"/>
  </si>
  <si>
    <t>정용인</t>
    <phoneticPr fontId="6" type="noConversion"/>
  </si>
  <si>
    <t>이사</t>
    <phoneticPr fontId="6" type="noConversion"/>
  </si>
  <si>
    <t>김재용</t>
    <phoneticPr fontId="6" type="noConversion"/>
  </si>
  <si>
    <t>징계안</t>
    <phoneticPr fontId="6" type="noConversion"/>
  </si>
  <si>
    <t>이마트시화(보안)</t>
    <phoneticPr fontId="6" type="noConversion"/>
  </si>
  <si>
    <t>팀장</t>
    <phoneticPr fontId="6" type="noConversion"/>
  </si>
  <si>
    <t>김보성</t>
    <phoneticPr fontId="6" type="noConversion"/>
  </si>
  <si>
    <t>근로기준법위반(연장근로 미보고)</t>
    <phoneticPr fontId="6" type="noConversion"/>
  </si>
  <si>
    <t>김진국</t>
    <phoneticPr fontId="6" type="noConversion"/>
  </si>
  <si>
    <t>■ 2020년</t>
    <phoneticPr fontId="6" type="noConversion"/>
  </si>
  <si>
    <t>그랜드하얏트인천
(시설)</t>
    <phoneticPr fontId="6" type="noConversion"/>
  </si>
  <si>
    <t>윤정기</t>
    <phoneticPr fontId="6" type="noConversion"/>
  </si>
  <si>
    <t>복무규정위반(폭언, 하극상)</t>
    <phoneticPr fontId="6" type="noConversion"/>
  </si>
  <si>
    <t>FM사업부</t>
    <phoneticPr fontId="6" type="noConversion"/>
  </si>
  <si>
    <t>수석</t>
    <phoneticPr fontId="6" type="noConversion"/>
  </si>
  <si>
    <t>문찬묵</t>
    <phoneticPr fontId="6" type="noConversion"/>
  </si>
  <si>
    <t>인사위</t>
    <phoneticPr fontId="6" type="noConversion"/>
  </si>
  <si>
    <t>현대차군산(보안)</t>
    <phoneticPr fontId="6" type="noConversion"/>
  </si>
  <si>
    <t>사원</t>
    <phoneticPr fontId="6" type="noConversion"/>
  </si>
  <si>
    <t>백승하</t>
    <phoneticPr fontId="6" type="noConversion"/>
  </si>
  <si>
    <t>복무규정위반(폭언, 위협)</t>
    <phoneticPr fontId="6" type="noConversion"/>
  </si>
  <si>
    <t>감봉(10%)</t>
    <phoneticPr fontId="6" type="noConversion"/>
  </si>
  <si>
    <t>수석</t>
    <phoneticPr fontId="6" type="noConversion"/>
  </si>
  <si>
    <t>최양순</t>
    <phoneticPr fontId="6" type="noConversion"/>
  </si>
  <si>
    <t>경고(서면)</t>
    <phoneticPr fontId="6" type="noConversion"/>
  </si>
  <si>
    <t>사원</t>
    <phoneticPr fontId="6" type="noConversion"/>
  </si>
  <si>
    <t>이우정</t>
    <phoneticPr fontId="6" type="noConversion"/>
  </si>
  <si>
    <t>반장</t>
    <phoneticPr fontId="6" type="noConversion"/>
  </si>
  <si>
    <t>이범희</t>
    <phoneticPr fontId="6" type="noConversion"/>
  </si>
  <si>
    <t>복무규정위반(근무태만, 지시불이행)</t>
    <phoneticPr fontId="6" type="noConversion"/>
  </si>
  <si>
    <t>NC울산성남(시설)</t>
    <phoneticPr fontId="6" type="noConversion"/>
  </si>
  <si>
    <t>소장</t>
    <phoneticPr fontId="6" type="noConversion"/>
  </si>
  <si>
    <t>박용면</t>
    <phoneticPr fontId="6" type="noConversion"/>
  </si>
  <si>
    <t>관리부실(안전사고)</t>
    <phoneticPr fontId="6" type="noConversion"/>
  </si>
  <si>
    <t>크레프톤타워(미화)</t>
    <phoneticPr fontId="6" type="noConversion"/>
  </si>
  <si>
    <t>조용대</t>
    <phoneticPr fontId="6" type="noConversion"/>
  </si>
  <si>
    <t>신춘근</t>
    <phoneticPr fontId="6" type="noConversion"/>
  </si>
  <si>
    <t>서미자</t>
    <phoneticPr fontId="6" type="noConversion"/>
  </si>
  <si>
    <t>사원</t>
    <phoneticPr fontId="6" type="noConversion"/>
  </si>
  <si>
    <t>사원</t>
    <phoneticPr fontId="6" type="noConversion"/>
  </si>
  <si>
    <t>관리부실</t>
    <phoneticPr fontId="6" type="noConversion"/>
  </si>
  <si>
    <t>현대천안(미화)</t>
    <phoneticPr fontId="6" type="noConversion"/>
  </si>
  <si>
    <t>문형길</t>
    <phoneticPr fontId="6" type="noConversion"/>
  </si>
  <si>
    <t>이성준</t>
    <phoneticPr fontId="6" type="noConversion"/>
  </si>
  <si>
    <t>여정미</t>
    <phoneticPr fontId="6" type="noConversion"/>
  </si>
  <si>
    <t>FM사업부</t>
    <phoneticPr fontId="6" type="noConversion"/>
  </si>
  <si>
    <t>최우영</t>
    <phoneticPr fontId="6" type="noConversion"/>
  </si>
  <si>
    <t>관리부실(괴롭힘)</t>
    <phoneticPr fontId="6" type="noConversion"/>
  </si>
  <si>
    <t>관리부실(폭언)</t>
    <phoneticPr fontId="6" type="noConversion"/>
  </si>
  <si>
    <t>복무규정위반(비밀유지 위반)</t>
    <phoneticPr fontId="6" type="noConversion"/>
  </si>
  <si>
    <t>경고(구두)</t>
    <phoneticPr fontId="6" type="noConversion"/>
  </si>
  <si>
    <t>삼성바이오로직스
(미화)</t>
    <phoneticPr fontId="6" type="noConversion"/>
  </si>
  <si>
    <t>부소장</t>
    <phoneticPr fontId="6" type="noConversion"/>
  </si>
  <si>
    <t>백준협</t>
    <phoneticPr fontId="6" type="noConversion"/>
  </si>
  <si>
    <t>복무규정위반(하극상, 기밀유출)</t>
    <phoneticPr fontId="6" type="noConversion"/>
  </si>
  <si>
    <t>복무규정위반(직원간 다툼, 비방)</t>
    <phoneticPr fontId="6" type="noConversion"/>
  </si>
  <si>
    <t>복무규정위반(직원간 다툼, 비방)</t>
    <phoneticPr fontId="6" type="noConversion"/>
  </si>
  <si>
    <t>사직(퇴사)</t>
    <phoneticPr fontId="6" type="noConversion"/>
  </si>
  <si>
    <t>인사위</t>
    <phoneticPr fontId="6" type="noConversion"/>
  </si>
  <si>
    <t>아모레사옥</t>
    <phoneticPr fontId="6" type="noConversion"/>
  </si>
  <si>
    <t>최규성</t>
    <phoneticPr fontId="6" type="noConversion"/>
  </si>
  <si>
    <t>배임(금품수수)</t>
    <phoneticPr fontId="6" type="noConversion"/>
  </si>
  <si>
    <t>해고(퇴사)</t>
    <phoneticPr fontId="6" type="noConversion"/>
  </si>
  <si>
    <t>환경사업부</t>
    <phoneticPr fontId="6" type="noConversion"/>
  </si>
  <si>
    <t>이사</t>
    <phoneticPr fontId="6" type="noConversion"/>
  </si>
  <si>
    <t>수석</t>
    <phoneticPr fontId="6" type="noConversion"/>
  </si>
  <si>
    <t>오충록</t>
    <phoneticPr fontId="6" type="noConversion"/>
  </si>
  <si>
    <t>수석</t>
    <phoneticPr fontId="6" type="noConversion"/>
  </si>
  <si>
    <t>백진호</t>
    <phoneticPr fontId="6" type="noConversion"/>
  </si>
  <si>
    <t>관리부실(아모레 최규성)</t>
    <phoneticPr fontId="6" type="noConversion"/>
  </si>
  <si>
    <t>견책(시말서)</t>
    <phoneticPr fontId="6" type="noConversion"/>
  </si>
  <si>
    <t>경고(서면)</t>
    <phoneticPr fontId="6" type="noConversion"/>
  </si>
  <si>
    <t>감봉(10%)</t>
    <phoneticPr fontId="6" type="noConversion"/>
  </si>
  <si>
    <t>최광수</t>
    <phoneticPr fontId="6" type="noConversion"/>
  </si>
  <si>
    <t>복무규정위반(보건지침 위반)</t>
    <phoneticPr fontId="6" type="noConversion"/>
  </si>
  <si>
    <t>해고(퇴사)</t>
    <phoneticPr fontId="6" type="noConversion"/>
  </si>
  <si>
    <t>해고(퇴사)</t>
    <phoneticPr fontId="6" type="noConversion"/>
  </si>
  <si>
    <t>복무규정위반(자금운용 부정)</t>
    <phoneticPr fontId="6" type="noConversion"/>
  </si>
  <si>
    <t>스타필드부천(보안)</t>
    <phoneticPr fontId="6" type="noConversion"/>
  </si>
  <si>
    <t>팀장</t>
    <phoneticPr fontId="6" type="noConversion"/>
  </si>
  <si>
    <t>김현우</t>
    <phoneticPr fontId="6" type="noConversion"/>
  </si>
  <si>
    <t>복무규정위반(성희롱)</t>
    <phoneticPr fontId="6" type="noConversion"/>
  </si>
  <si>
    <t>해고(퇴사)</t>
    <phoneticPr fontId="6" type="noConversion"/>
  </si>
  <si>
    <t>인사위원회(징 계) 기록부</t>
    <phoneticPr fontId="6" type="noConversion"/>
  </si>
  <si>
    <t>년도</t>
    <phoneticPr fontId="6" type="noConversion"/>
  </si>
  <si>
    <t>■ 미성엠프로</t>
    <phoneticPr fontId="6" type="noConversion"/>
  </si>
  <si>
    <t>■ 2021년</t>
    <phoneticPr fontId="6" type="noConversion"/>
  </si>
  <si>
    <t>삼성바이오로직스</t>
    <phoneticPr fontId="6" type="noConversion"/>
  </si>
  <si>
    <t>여주환</t>
    <phoneticPr fontId="6" type="noConversion"/>
  </si>
  <si>
    <t>직장내 괴롭힘(스토킹 등)</t>
    <phoneticPr fontId="6" type="noConversion"/>
  </si>
  <si>
    <t>감봉(10%)</t>
    <phoneticPr fontId="6" type="noConversion"/>
  </si>
  <si>
    <t>사원</t>
    <phoneticPr fontId="6" type="noConversion"/>
  </si>
  <si>
    <t>임해일</t>
    <phoneticPr fontId="6" type="noConversion"/>
  </si>
  <si>
    <t>복무규정위반(사우나 출입 등)</t>
    <phoneticPr fontId="6" type="noConversion"/>
  </si>
  <si>
    <t>견책</t>
    <phoneticPr fontId="6" type="noConversion"/>
  </si>
  <si>
    <t>파라다이스시티</t>
    <phoneticPr fontId="6" type="noConversion"/>
  </si>
  <si>
    <t>소장</t>
    <phoneticPr fontId="6" type="noConversion"/>
  </si>
  <si>
    <t>박노일</t>
    <phoneticPr fontId="6" type="noConversion"/>
  </si>
  <si>
    <t>관리부실(임해일 복무규정 위반)</t>
    <phoneticPr fontId="6" type="noConversion"/>
  </si>
  <si>
    <t>견책</t>
    <phoneticPr fontId="6" type="noConversion"/>
  </si>
  <si>
    <t>원주세브란스
(미화)</t>
    <phoneticPr fontId="6" type="noConversion"/>
  </si>
  <si>
    <t>소장</t>
    <phoneticPr fontId="6" type="noConversion"/>
  </si>
  <si>
    <t>원영준</t>
    <phoneticPr fontId="6" type="noConversion"/>
  </si>
  <si>
    <t>관리부실(부당해고 진정)</t>
    <phoneticPr fontId="6" type="noConversion"/>
  </si>
  <si>
    <t>견책</t>
    <phoneticPr fontId="6" type="noConversion"/>
  </si>
  <si>
    <t>수석</t>
    <phoneticPr fontId="6" type="noConversion"/>
  </si>
  <si>
    <t>관리부실(원영준 관리부실 건)</t>
    <phoneticPr fontId="6" type="noConversion"/>
  </si>
  <si>
    <t>팀장</t>
    <phoneticPr fontId="6" type="noConversion"/>
  </si>
  <si>
    <t>박세준</t>
    <phoneticPr fontId="6" type="noConversion"/>
  </si>
  <si>
    <t>삼성서울병원
(주차)</t>
    <phoneticPr fontId="6" type="noConversion"/>
  </si>
  <si>
    <t>직장내 괴롭힘(폭언 등)</t>
    <phoneticPr fontId="6" type="noConversion"/>
  </si>
  <si>
    <t>견책</t>
    <phoneticPr fontId="6" type="noConversion"/>
  </si>
  <si>
    <t>소장</t>
    <phoneticPr fontId="6" type="noConversion"/>
  </si>
  <si>
    <t>채광식</t>
    <phoneticPr fontId="6" type="noConversion"/>
  </si>
  <si>
    <t>관리부실(박세준 괴롭힘 건)</t>
    <phoneticPr fontId="6" type="noConversion"/>
  </si>
  <si>
    <t>징계안</t>
    <phoneticPr fontId="6" type="noConversion"/>
  </si>
  <si>
    <t>인재양양터널</t>
    <phoneticPr fontId="6" type="noConversion"/>
  </si>
  <si>
    <t>류수철</t>
    <phoneticPr fontId="6" type="noConversion"/>
  </si>
  <si>
    <t>이기섭</t>
    <phoneticPr fontId="6" type="noConversion"/>
  </si>
  <si>
    <t>복무규정위반(폭언, 욕설 등)</t>
    <phoneticPr fontId="6" type="noConversion"/>
  </si>
  <si>
    <t>복무규정위반(폭언, 욕설 등)</t>
    <phoneticPr fontId="6" type="noConversion"/>
  </si>
  <si>
    <t>경고(서면)</t>
    <phoneticPr fontId="6" type="noConversion"/>
  </si>
  <si>
    <t>현대모비스 서산</t>
    <phoneticPr fontId="6" type="noConversion"/>
  </si>
  <si>
    <t>센터장</t>
    <phoneticPr fontId="6" type="noConversion"/>
  </si>
  <si>
    <t>이준배</t>
    <phoneticPr fontId="6" type="noConversion"/>
  </si>
  <si>
    <t>업무상 배임(예산전용)</t>
    <phoneticPr fontId="6" type="noConversion"/>
  </si>
  <si>
    <t>해고</t>
    <phoneticPr fontId="6" type="noConversion"/>
  </si>
  <si>
    <t>팀장</t>
    <phoneticPr fontId="6" type="noConversion"/>
  </si>
  <si>
    <t>김세철</t>
    <phoneticPr fontId="6" type="noConversion"/>
  </si>
  <si>
    <t>석연호</t>
    <phoneticPr fontId="6" type="noConversion"/>
  </si>
  <si>
    <t>현대모비스 서산
(시설)</t>
    <phoneticPr fontId="6" type="noConversion"/>
  </si>
  <si>
    <t>현대모비스 서산
(보안)</t>
    <phoneticPr fontId="6" type="noConversion"/>
  </si>
  <si>
    <t>업무상 배임(예산전용 동조)</t>
    <phoneticPr fontId="6" type="noConversion"/>
  </si>
  <si>
    <t>업무상 배임(예산전용 동조)</t>
    <phoneticPr fontId="6" type="noConversion"/>
  </si>
  <si>
    <t>업무상 배임(예산전용 동조)</t>
    <phoneticPr fontId="6" type="noConversion"/>
  </si>
  <si>
    <t>권고사직</t>
    <phoneticPr fontId="6" type="noConversion"/>
  </si>
  <si>
    <t>견책</t>
    <phoneticPr fontId="6" type="noConversion"/>
  </si>
  <si>
    <t>현대 아산공장
(미화)</t>
    <phoneticPr fontId="6" type="noConversion"/>
  </si>
  <si>
    <t>현대모비스 서산
(미화)</t>
    <phoneticPr fontId="6" type="noConversion"/>
  </si>
  <si>
    <t>사원</t>
    <phoneticPr fontId="6" type="noConversion"/>
  </si>
  <si>
    <t>김택용</t>
    <phoneticPr fontId="6" type="noConversion"/>
  </si>
  <si>
    <t>박갑열</t>
    <phoneticPr fontId="6" type="noConversion"/>
  </si>
  <si>
    <t>복무규정위반(폭행)</t>
    <phoneticPr fontId="6" type="noConversion"/>
  </si>
  <si>
    <t>감봉(10%)</t>
    <phoneticPr fontId="6" type="noConversion"/>
  </si>
  <si>
    <t>크래프톤 타워
(보안)</t>
    <phoneticPr fontId="6" type="noConversion"/>
  </si>
  <si>
    <t>크래프톤 타워
(미화)</t>
    <phoneticPr fontId="6" type="noConversion"/>
  </si>
  <si>
    <t>팀장</t>
    <phoneticPr fontId="6" type="noConversion"/>
  </si>
  <si>
    <t>팀장</t>
    <phoneticPr fontId="6" type="noConversion"/>
  </si>
  <si>
    <t>최상규</t>
    <phoneticPr fontId="6" type="noConversion"/>
  </si>
  <si>
    <t>조용대</t>
    <phoneticPr fontId="6" type="noConversion"/>
  </si>
  <si>
    <t>복무규정위반(근로시간 관리 소홀)</t>
    <phoneticPr fontId="6" type="noConversion"/>
  </si>
  <si>
    <t>복무규정위반(개인정보관리 미흡)</t>
    <phoneticPr fontId="6" type="noConversion"/>
  </si>
  <si>
    <t>징계안</t>
    <phoneticPr fontId="6" type="noConversion"/>
  </si>
  <si>
    <t>이마트 성수
(보안)</t>
    <phoneticPr fontId="6" type="noConversion"/>
  </si>
  <si>
    <t>보안주차사업부</t>
    <phoneticPr fontId="6" type="noConversion"/>
  </si>
  <si>
    <t>주임</t>
    <phoneticPr fontId="6" type="noConversion"/>
  </si>
  <si>
    <t>수석</t>
    <phoneticPr fontId="6" type="noConversion"/>
  </si>
  <si>
    <t>이주현</t>
    <phoneticPr fontId="6" type="noConversion"/>
  </si>
  <si>
    <t>김선우</t>
    <phoneticPr fontId="6" type="noConversion"/>
  </si>
  <si>
    <t>황현익</t>
    <phoneticPr fontId="6" type="noConversion"/>
  </si>
  <si>
    <t>복무규정위반(근로계약 관리 소홀)</t>
    <phoneticPr fontId="6" type="noConversion"/>
  </si>
  <si>
    <t>관리부실(김민준 부당해고 진정 건)</t>
    <phoneticPr fontId="6" type="noConversion"/>
  </si>
  <si>
    <t>견책</t>
    <phoneticPr fontId="6" type="noConversion"/>
  </si>
  <si>
    <t>경고(서면)</t>
    <phoneticPr fontId="6" type="noConversion"/>
  </si>
  <si>
    <t>경고(서면)</t>
    <phoneticPr fontId="6" type="noConversion"/>
  </si>
  <si>
    <t>부산센텀백화점
(보안)</t>
    <phoneticPr fontId="6" type="noConversion"/>
  </si>
  <si>
    <t>대리</t>
    <phoneticPr fontId="6" type="noConversion"/>
  </si>
  <si>
    <t>최명철</t>
    <phoneticPr fontId="6" type="noConversion"/>
  </si>
  <si>
    <t>복무규정위반(몰카촬영)</t>
    <phoneticPr fontId="6" type="noConversion"/>
  </si>
  <si>
    <t>해고</t>
    <phoneticPr fontId="6" type="noConversion"/>
  </si>
  <si>
    <t>징계안</t>
    <phoneticPr fontId="6" type="noConversion"/>
  </si>
  <si>
    <t>사랑의교회
(미화)</t>
    <phoneticPr fontId="6" type="noConversion"/>
  </si>
  <si>
    <t>황기만</t>
    <phoneticPr fontId="6" type="noConversion"/>
  </si>
  <si>
    <t>직장내 괴롭힘(폭언 등)</t>
    <phoneticPr fontId="6" type="noConversion"/>
  </si>
  <si>
    <t>견책</t>
    <phoneticPr fontId="6" type="noConversion"/>
  </si>
  <si>
    <t>2021. 12. 15</t>
    <phoneticPr fontId="6" type="noConversion"/>
  </si>
  <si>
    <t>부산센텀백화점
(보안)</t>
    <phoneticPr fontId="6" type="noConversion"/>
  </si>
  <si>
    <t>이동만</t>
    <phoneticPr fontId="6" type="noConversion"/>
  </si>
  <si>
    <t>복무규정위반(절취)</t>
    <phoneticPr fontId="6" type="noConversion"/>
  </si>
  <si>
    <t>최태석</t>
    <phoneticPr fontId="6" type="noConversion"/>
  </si>
  <si>
    <t>과장</t>
    <phoneticPr fontId="6" type="noConversion"/>
  </si>
  <si>
    <t>민동현</t>
    <phoneticPr fontId="6" type="noConversion"/>
  </si>
  <si>
    <t>팀장</t>
    <phoneticPr fontId="6" type="noConversion"/>
  </si>
  <si>
    <t>장준기</t>
    <phoneticPr fontId="6" type="noConversion"/>
  </si>
  <si>
    <t>이마트 문현점
(보안)</t>
    <phoneticPr fontId="6" type="noConversion"/>
  </si>
  <si>
    <t>이동환</t>
    <phoneticPr fontId="6" type="noConversion"/>
  </si>
  <si>
    <t>보안주차사업부</t>
    <phoneticPr fontId="6" type="noConversion"/>
  </si>
  <si>
    <t>수석</t>
    <phoneticPr fontId="6" type="noConversion"/>
  </si>
  <si>
    <t>시현규</t>
    <phoneticPr fontId="6" type="noConversion"/>
  </si>
  <si>
    <t>복무규정위반(보고 누락, 지연 등)</t>
    <phoneticPr fontId="6" type="noConversion"/>
  </si>
  <si>
    <t>관리부실(절취, 보고누락 등)</t>
    <phoneticPr fontId="6" type="noConversion"/>
  </si>
  <si>
    <t>■ 2022년</t>
    <phoneticPr fontId="6" type="noConversion"/>
  </si>
  <si>
    <t>인사위</t>
    <phoneticPr fontId="6" type="noConversion"/>
  </si>
  <si>
    <t>건양대병원
(보안)</t>
    <phoneticPr fontId="6" type="noConversion"/>
  </si>
  <si>
    <t>선배수</t>
    <phoneticPr fontId="6" type="noConversion"/>
  </si>
  <si>
    <t>직장내 괴롭힘(폭언 등)</t>
    <phoneticPr fontId="6" type="noConversion"/>
  </si>
  <si>
    <t>관리부실(직장내괴롭힘)</t>
    <phoneticPr fontId="6" type="noConversion"/>
  </si>
  <si>
    <t>견책</t>
    <phoneticPr fontId="6" type="noConversion"/>
  </si>
  <si>
    <t>경고(서면)</t>
    <phoneticPr fontId="6" type="noConversion"/>
  </si>
  <si>
    <t>김정섭</t>
    <phoneticPr fontId="6" type="noConversion"/>
  </si>
  <si>
    <t>조장</t>
    <phoneticPr fontId="6" type="noConversion"/>
  </si>
  <si>
    <t>건양대병원
(보안)</t>
    <phoneticPr fontId="6" type="noConversion"/>
  </si>
  <si>
    <t>솔트베이CC
(미화)</t>
    <phoneticPr fontId="6" type="noConversion"/>
  </si>
  <si>
    <t>최을영</t>
    <phoneticPr fontId="6" type="noConversion"/>
  </si>
  <si>
    <t>복무규정위반(폭언 등)</t>
    <phoneticPr fontId="6" type="noConversion"/>
  </si>
  <si>
    <t>제주드림타워
(시설)</t>
    <phoneticPr fontId="6" type="noConversion"/>
  </si>
  <si>
    <t>사원</t>
    <phoneticPr fontId="6" type="noConversion"/>
  </si>
  <si>
    <t>위재영</t>
    <phoneticPr fontId="6" type="noConversion"/>
  </si>
  <si>
    <t>복무규정위반(고객응대불량)</t>
    <phoneticPr fontId="6" type="noConversion"/>
  </si>
  <si>
    <t>징계안</t>
    <phoneticPr fontId="6" type="noConversion"/>
  </si>
  <si>
    <t>건양대병원
(미화)</t>
    <phoneticPr fontId="6" type="noConversion"/>
  </si>
  <si>
    <t>반장</t>
    <phoneticPr fontId="6" type="noConversion"/>
  </si>
  <si>
    <t>오종신</t>
    <phoneticPr fontId="6" type="noConversion"/>
  </si>
  <si>
    <t>팀장</t>
    <phoneticPr fontId="6" type="noConversion"/>
  </si>
  <si>
    <t>한종현</t>
    <phoneticPr fontId="6" type="noConversion"/>
  </si>
  <si>
    <t>관리부실(안전관리, 보고누락)</t>
    <phoneticPr fontId="6" type="noConversion"/>
  </si>
  <si>
    <t>복무규정위반(허위보고, 누락 등)</t>
    <phoneticPr fontId="6" type="noConversion"/>
  </si>
  <si>
    <t>경고(서면)</t>
    <phoneticPr fontId="6" type="noConversion"/>
  </si>
  <si>
    <t>견책</t>
    <phoneticPr fontId="6" type="noConversion"/>
  </si>
  <si>
    <t>징계안</t>
    <phoneticPr fontId="6" type="noConversion"/>
  </si>
  <si>
    <t>징계안</t>
    <phoneticPr fontId="6" type="noConversion"/>
  </si>
  <si>
    <t>징계안</t>
    <phoneticPr fontId="6" type="noConversion"/>
  </si>
  <si>
    <t>삼성바이오로직스
(미화)</t>
    <phoneticPr fontId="6" type="noConversion"/>
  </si>
  <si>
    <t>사원</t>
    <phoneticPr fontId="6" type="noConversion"/>
  </si>
  <si>
    <t>김성중</t>
    <phoneticPr fontId="6" type="noConversion"/>
  </si>
  <si>
    <t>이우종</t>
    <phoneticPr fontId="6" type="noConversion"/>
  </si>
  <si>
    <t>임태원</t>
    <phoneticPr fontId="6" type="noConversion"/>
  </si>
  <si>
    <t>복무규정위반(폭언 등)</t>
    <phoneticPr fontId="6" type="noConversion"/>
  </si>
  <si>
    <t>견책</t>
    <phoneticPr fontId="6" type="noConversion"/>
  </si>
  <si>
    <t>경고(서면)</t>
    <phoneticPr fontId="6" type="noConversion"/>
  </si>
  <si>
    <t>훈계(구두)</t>
    <phoneticPr fontId="6" type="noConversion"/>
  </si>
  <si>
    <t>감봉(10%)</t>
    <phoneticPr fontId="6" type="noConversion"/>
  </si>
  <si>
    <t>견책</t>
    <phoneticPr fontId="6" type="noConversion"/>
  </si>
  <si>
    <t>상무</t>
    <phoneticPr fontId="6" type="noConversion"/>
  </si>
  <si>
    <t>유균형</t>
    <phoneticPr fontId="6" type="noConversion"/>
  </si>
  <si>
    <t>경고(서면)</t>
    <phoneticPr fontId="6" type="noConversion"/>
  </si>
  <si>
    <t>권고사직</t>
    <phoneticPr fontId="6" type="noConversion"/>
  </si>
  <si>
    <t>감봉(10%)</t>
    <phoneticPr fontId="6" type="noConversion"/>
  </si>
  <si>
    <t>관리부실(직원관리 등)</t>
    <phoneticPr fontId="6" type="noConversion"/>
  </si>
  <si>
    <t>인사위</t>
    <phoneticPr fontId="6" type="noConversion"/>
  </si>
  <si>
    <t>건양대병원
(보안)</t>
    <phoneticPr fontId="6" type="noConversion"/>
  </si>
  <si>
    <t>조장</t>
    <phoneticPr fontId="6" type="noConversion"/>
  </si>
  <si>
    <t>김정섭</t>
    <phoneticPr fontId="6" type="noConversion"/>
  </si>
  <si>
    <t>견책</t>
    <phoneticPr fontId="6" type="noConversion"/>
  </si>
  <si>
    <t>팀장</t>
    <phoneticPr fontId="6" type="noConversion"/>
  </si>
  <si>
    <t>선배수</t>
    <phoneticPr fontId="6" type="noConversion"/>
  </si>
  <si>
    <t>관리부실(직원관리 소홀)</t>
    <phoneticPr fontId="6" type="noConversion"/>
  </si>
  <si>
    <t>솔트베이CC
(미화)</t>
    <phoneticPr fontId="6" type="noConversion"/>
  </si>
  <si>
    <t>사원</t>
    <phoneticPr fontId="6" type="noConversion"/>
  </si>
  <si>
    <t>최을영</t>
    <phoneticPr fontId="6" type="noConversion"/>
  </si>
  <si>
    <t>제주드림타워</t>
    <phoneticPr fontId="6" type="noConversion"/>
  </si>
  <si>
    <t>사원</t>
    <phoneticPr fontId="6" type="noConversion"/>
  </si>
  <si>
    <t>위재원</t>
    <phoneticPr fontId="6" type="noConversion"/>
  </si>
  <si>
    <t>복무규정위반(폭행, 욕설 등)</t>
    <phoneticPr fontId="6" type="noConversion"/>
  </si>
  <si>
    <t>견책</t>
    <phoneticPr fontId="6" type="noConversion"/>
  </si>
  <si>
    <t>건양대병원
(미화)</t>
    <phoneticPr fontId="6" type="noConversion"/>
  </si>
  <si>
    <t>사원</t>
    <phoneticPr fontId="6" type="noConversion"/>
  </si>
  <si>
    <t>오종신</t>
    <phoneticPr fontId="6" type="noConversion"/>
  </si>
  <si>
    <t>한종현</t>
    <phoneticPr fontId="6" type="noConversion"/>
  </si>
  <si>
    <t>소장</t>
    <phoneticPr fontId="6" type="noConversion"/>
  </si>
  <si>
    <t>사원</t>
    <phoneticPr fontId="6" type="noConversion"/>
  </si>
  <si>
    <t>김성중</t>
    <phoneticPr fontId="6" type="noConversion"/>
  </si>
  <si>
    <t>훈계</t>
    <phoneticPr fontId="6" type="noConversion"/>
  </si>
  <si>
    <t>복무규정위반(소란행위 등)</t>
    <phoneticPr fontId="6" type="noConversion"/>
  </si>
  <si>
    <t>이우종</t>
    <phoneticPr fontId="6" type="noConversion"/>
  </si>
  <si>
    <t>임태원</t>
    <phoneticPr fontId="6" type="noConversion"/>
  </si>
  <si>
    <t>복무규정위반(폭언, 욕설 등)</t>
    <phoneticPr fontId="6" type="noConversion"/>
  </si>
  <si>
    <t>뉴코아 울산</t>
    <phoneticPr fontId="6" type="noConversion"/>
  </si>
  <si>
    <t>서원길</t>
    <phoneticPr fontId="6" type="noConversion"/>
  </si>
  <si>
    <t>경고(서면)</t>
    <phoneticPr fontId="6" type="noConversion"/>
  </si>
  <si>
    <t>징계안</t>
    <phoneticPr fontId="6" type="noConversion"/>
  </si>
  <si>
    <t>오진용</t>
    <phoneticPr fontId="6" type="noConversion"/>
  </si>
  <si>
    <t>견책</t>
    <phoneticPr fontId="6" type="noConversion"/>
  </si>
  <si>
    <t>서산현대모비스
(미화)</t>
    <phoneticPr fontId="6" type="noConversion"/>
  </si>
  <si>
    <t>최혜선</t>
    <phoneticPr fontId="6" type="noConversion"/>
  </si>
  <si>
    <t>반장</t>
    <phoneticPr fontId="6" type="noConversion"/>
  </si>
  <si>
    <t>서정희</t>
    <phoneticPr fontId="6" type="noConversion"/>
  </si>
  <si>
    <t>맹재형</t>
    <phoneticPr fontId="6" type="noConversion"/>
  </si>
  <si>
    <t>견책</t>
    <phoneticPr fontId="6" type="noConversion"/>
  </si>
  <si>
    <t>복무규정위반(금품지급 등)</t>
    <phoneticPr fontId="6" type="noConversion"/>
  </si>
  <si>
    <t>복무규정위반(직원간 다툼 등)</t>
    <phoneticPr fontId="6" type="noConversion"/>
  </si>
  <si>
    <t>복무규정위반(허위사실 유포 등)</t>
    <phoneticPr fontId="6" type="noConversion"/>
  </si>
  <si>
    <t>코리아바이오파크
(보안)</t>
    <phoneticPr fontId="6" type="noConversion"/>
  </si>
  <si>
    <t>박상순</t>
    <phoneticPr fontId="6" type="noConversion"/>
  </si>
  <si>
    <t>권고사직</t>
    <phoneticPr fontId="6" type="noConversion"/>
  </si>
  <si>
    <t>인사위</t>
    <phoneticPr fontId="6" type="noConversion"/>
  </si>
  <si>
    <t>현대파텍스 익산
(보안)</t>
    <phoneticPr fontId="6" type="noConversion"/>
  </si>
  <si>
    <t>정직(1개월)</t>
    <phoneticPr fontId="6" type="noConversion"/>
  </si>
  <si>
    <t>고충현</t>
    <phoneticPr fontId="6" type="noConversion"/>
  </si>
  <si>
    <t>반장</t>
    <phoneticPr fontId="6" type="noConversion"/>
  </si>
  <si>
    <t>강태영</t>
    <phoneticPr fontId="6" type="noConversion"/>
  </si>
  <si>
    <t>관리부실(직원관리 등)</t>
    <phoneticPr fontId="6" type="noConversion"/>
  </si>
  <si>
    <t>징계안</t>
    <phoneticPr fontId="6" type="noConversion"/>
  </si>
  <si>
    <t>삼성바이오로직스
(미화)</t>
    <phoneticPr fontId="6" type="noConversion"/>
  </si>
  <si>
    <t>김완회</t>
    <phoneticPr fontId="6" type="noConversion"/>
  </si>
  <si>
    <t>감봉(3개월)</t>
    <phoneticPr fontId="6" type="noConversion"/>
  </si>
  <si>
    <t>엄봉현</t>
    <phoneticPr fontId="6" type="noConversion"/>
  </si>
  <si>
    <t>AK타워
(미화)</t>
    <phoneticPr fontId="6" type="noConversion"/>
  </si>
  <si>
    <t>곽순점</t>
    <phoneticPr fontId="6" type="noConversion"/>
  </si>
  <si>
    <t>법위반(밀수 등)</t>
    <phoneticPr fontId="6" type="noConversion"/>
  </si>
  <si>
    <t>임태원</t>
    <phoneticPr fontId="6" type="noConversion"/>
  </si>
  <si>
    <t>보안규정위반</t>
    <phoneticPr fontId="6" type="noConversion"/>
  </si>
  <si>
    <t>감봉(5%)</t>
    <phoneticPr fontId="6" type="noConversion"/>
  </si>
  <si>
    <t>관리부실(직원관리 등)</t>
    <phoneticPr fontId="6" type="noConversion"/>
  </si>
  <si>
    <t>징계안</t>
    <phoneticPr fontId="6" type="noConversion"/>
  </si>
  <si>
    <t>삼성전자사옥
(미화)</t>
    <phoneticPr fontId="6" type="noConversion"/>
  </si>
  <si>
    <t>감독</t>
    <phoneticPr fontId="6" type="noConversion"/>
  </si>
  <si>
    <t>길종현</t>
    <phoneticPr fontId="6" type="noConversion"/>
  </si>
  <si>
    <t>신항특경
(보안)</t>
    <phoneticPr fontId="6" type="noConversion"/>
  </si>
  <si>
    <t>대장</t>
    <phoneticPr fontId="6" type="noConversion"/>
  </si>
  <si>
    <t>황진식</t>
    <phoneticPr fontId="6" type="noConversion"/>
  </si>
  <si>
    <t>복무규정위반(부정행위 등)</t>
    <phoneticPr fontId="6" type="noConversion"/>
  </si>
  <si>
    <t>상무</t>
    <phoneticPr fontId="6" type="noConversion"/>
  </si>
  <si>
    <t>서준원</t>
    <phoneticPr fontId="6" type="noConversion"/>
  </si>
  <si>
    <t>사원</t>
    <phoneticPr fontId="6" type="noConversion"/>
  </si>
  <si>
    <t>허정철</t>
    <phoneticPr fontId="6" type="noConversion"/>
  </si>
  <si>
    <t>재심</t>
    <phoneticPr fontId="6" type="noConversion"/>
  </si>
  <si>
    <t>부산남부지사</t>
    <phoneticPr fontId="6" type="noConversion"/>
  </si>
  <si>
    <t>대장</t>
    <phoneticPr fontId="6" type="noConversion"/>
  </si>
  <si>
    <t>황진식</t>
    <phoneticPr fontId="6" type="noConversion"/>
  </si>
  <si>
    <t>정직(2개월)</t>
    <phoneticPr fontId="6" type="noConversion"/>
  </si>
  <si>
    <t>인사위</t>
    <phoneticPr fontId="6" type="noConversion"/>
  </si>
  <si>
    <t>코오롱미래기술원
(미화)</t>
    <phoneticPr fontId="6" type="noConversion"/>
  </si>
  <si>
    <t>소장</t>
    <phoneticPr fontId="6" type="noConversion"/>
  </si>
  <si>
    <t>김하나</t>
    <phoneticPr fontId="6" type="noConversion"/>
  </si>
  <si>
    <t>감봉(1개월)</t>
    <phoneticPr fontId="6" type="noConversion"/>
  </si>
  <si>
    <t>엄봉현</t>
    <phoneticPr fontId="6" type="noConversion"/>
  </si>
  <si>
    <t>안전관리 부실</t>
    <phoneticPr fontId="6" type="noConversion"/>
  </si>
  <si>
    <t>감봉(6개월)</t>
    <phoneticPr fontId="6" type="noConversion"/>
  </si>
  <si>
    <t>해고(퇴사)</t>
    <phoneticPr fontId="6" type="noConversion"/>
  </si>
  <si>
    <t>해고(퇴사)</t>
    <phoneticPr fontId="6" type="noConversion"/>
  </si>
  <si>
    <t>훈계</t>
    <phoneticPr fontId="6" type="noConversion"/>
  </si>
  <si>
    <t>견책</t>
    <phoneticPr fontId="6" type="noConversion"/>
  </si>
  <si>
    <t>감봉</t>
    <phoneticPr fontId="6" type="noConversion"/>
  </si>
  <si>
    <t>강등</t>
    <phoneticPr fontId="6" type="noConversion"/>
  </si>
  <si>
    <t>정직</t>
    <phoneticPr fontId="6" type="noConversion"/>
  </si>
  <si>
    <t>경고</t>
    <phoneticPr fontId="6" type="noConversion"/>
  </si>
  <si>
    <t>권고사직(퇴사)</t>
    <phoneticPr fontId="6" type="noConversion"/>
  </si>
  <si>
    <t>제주드림타워
(시설)</t>
    <phoneticPr fontId="6" type="noConversion"/>
  </si>
  <si>
    <t>주임</t>
    <phoneticPr fontId="6" type="noConversion"/>
  </si>
  <si>
    <t>반장</t>
    <phoneticPr fontId="6" type="noConversion"/>
  </si>
  <si>
    <t>소장</t>
    <phoneticPr fontId="6" type="noConversion"/>
  </si>
  <si>
    <t>유표균</t>
    <phoneticPr fontId="6" type="noConversion"/>
  </si>
  <si>
    <t>양동식</t>
    <phoneticPr fontId="6" type="noConversion"/>
  </si>
  <si>
    <t>나범석</t>
    <phoneticPr fontId="6" type="noConversion"/>
  </si>
  <si>
    <t>경고(서면)</t>
    <phoneticPr fontId="6" type="noConversion"/>
  </si>
  <si>
    <t>징계안</t>
    <phoneticPr fontId="6" type="noConversion"/>
  </si>
  <si>
    <t>서울성모병원
(주차)</t>
    <phoneticPr fontId="6" type="noConversion"/>
  </si>
  <si>
    <t>이용</t>
    <phoneticPr fontId="6" type="noConversion"/>
  </si>
  <si>
    <t>박길현</t>
    <phoneticPr fontId="6" type="noConversion"/>
  </si>
  <si>
    <t>복무규정위반(욕설,폭언 등)</t>
    <phoneticPr fontId="6" type="noConversion"/>
  </si>
  <si>
    <t>복무규정위반(보고 누락/미보고)</t>
    <phoneticPr fontId="6" type="noConversion"/>
  </si>
  <si>
    <t>인사위</t>
  </si>
  <si>
    <t>김정환</t>
    <phoneticPr fontId="6" type="noConversion"/>
  </si>
  <si>
    <t>복무규정위반(SOP 위반)</t>
    <phoneticPr fontId="6" type="noConversion"/>
  </si>
  <si>
    <t>이영훈</t>
    <phoneticPr fontId="6" type="noConversion"/>
  </si>
  <si>
    <t>배인중</t>
    <phoneticPr fontId="6" type="noConversion"/>
  </si>
  <si>
    <t>고갑희</t>
    <phoneticPr fontId="6" type="noConversion"/>
  </si>
  <si>
    <t>김지원</t>
    <phoneticPr fontId="6" type="noConversion"/>
  </si>
  <si>
    <t>조성표</t>
    <phoneticPr fontId="6" type="noConversion"/>
  </si>
  <si>
    <t>메리어트 제주</t>
    <phoneticPr fontId="6" type="noConversion"/>
  </si>
  <si>
    <t>이한신</t>
    <phoneticPr fontId="6" type="noConversion"/>
  </si>
  <si>
    <t>전배</t>
    <phoneticPr fontId="6" type="noConversion"/>
  </si>
  <si>
    <t>복무규정위반(태업 등)</t>
    <phoneticPr fontId="6" type="noConversion"/>
  </si>
  <si>
    <t>삼성전자 서초사옥</t>
    <phoneticPr fontId="6" type="noConversion"/>
  </si>
  <si>
    <t>이경희</t>
    <phoneticPr fontId="6" type="noConversion"/>
  </si>
  <si>
    <t>김선임</t>
    <phoneticPr fontId="6" type="noConversion"/>
  </si>
  <si>
    <t>경고</t>
  </si>
  <si>
    <t>현대군산서비스센터</t>
    <phoneticPr fontId="6" type="noConversion"/>
  </si>
  <si>
    <t>지현진</t>
    <phoneticPr fontId="6" type="noConversion"/>
  </si>
  <si>
    <t>관리부실(경비업 신고 지연)</t>
    <phoneticPr fontId="6" type="noConversion"/>
  </si>
  <si>
    <t>현대대전서비스센터</t>
    <phoneticPr fontId="6" type="noConversion"/>
  </si>
  <si>
    <t>복무규정 위반(근태 부실)</t>
    <phoneticPr fontId="6" type="noConversion"/>
  </si>
  <si>
    <t>황경수</t>
    <phoneticPr fontId="6" type="noConversion"/>
  </si>
  <si>
    <t>알파돔시티
(시설)</t>
    <phoneticPr fontId="6" type="noConversion"/>
  </si>
  <si>
    <t>김홍섭</t>
    <phoneticPr fontId="6" type="noConversion"/>
  </si>
  <si>
    <t>파트장</t>
    <phoneticPr fontId="6" type="noConversion"/>
  </si>
  <si>
    <t>이상옥</t>
    <phoneticPr fontId="6" type="noConversion"/>
  </si>
  <si>
    <t>채용 절차 위반</t>
    <phoneticPr fontId="6" type="noConversion"/>
  </si>
  <si>
    <t>스타필드 수원</t>
    <phoneticPr fontId="6" type="noConversion"/>
  </si>
  <si>
    <t>이성규</t>
    <phoneticPr fontId="6" type="noConversion"/>
  </si>
  <si>
    <t>박준영</t>
    <phoneticPr fontId="6" type="noConversion"/>
  </si>
  <si>
    <t>복무규정 위반(위력 행사)</t>
    <phoneticPr fontId="6" type="noConversion"/>
  </si>
  <si>
    <t>홍명인</t>
    <phoneticPr fontId="6" type="noConversion"/>
  </si>
  <si>
    <t>무단결근</t>
    <phoneticPr fontId="6" type="noConversion"/>
  </si>
  <si>
    <t>현대자동차아선공장
(미화)</t>
    <phoneticPr fontId="6" type="noConversion"/>
  </si>
  <si>
    <t>김현호</t>
    <phoneticPr fontId="6" type="noConversion"/>
  </si>
  <si>
    <t>이장우</t>
    <phoneticPr fontId="6" type="noConversion"/>
  </si>
  <si>
    <t>은평점</t>
    <phoneticPr fontId="6" type="noConversion"/>
  </si>
  <si>
    <t>김용현</t>
    <phoneticPr fontId="6" type="noConversion"/>
  </si>
  <si>
    <t>박태환</t>
    <phoneticPr fontId="6" type="noConversion"/>
  </si>
  <si>
    <t>방원환</t>
    <phoneticPr fontId="6" type="noConversion"/>
  </si>
  <si>
    <t>카시아속초</t>
    <phoneticPr fontId="6" type="noConversion"/>
  </si>
  <si>
    <t>최중규</t>
    <phoneticPr fontId="6" type="noConversion"/>
  </si>
  <si>
    <t>복무규정위반(근무규정 위반)</t>
    <phoneticPr fontId="6" type="noConversion"/>
  </si>
  <si>
    <t>녹십자 오창공장</t>
    <phoneticPr fontId="6" type="noConversion"/>
  </si>
  <si>
    <t>박철</t>
    <phoneticPr fontId="6" type="noConversion"/>
  </si>
  <si>
    <t>강태욱</t>
    <phoneticPr fontId="6" type="noConversion"/>
  </si>
  <si>
    <t>박동오</t>
    <phoneticPr fontId="6" type="noConversion"/>
  </si>
  <si>
    <t>포스코센터</t>
    <phoneticPr fontId="6" type="noConversion"/>
  </si>
  <si>
    <t>조민행</t>
    <phoneticPr fontId="6" type="noConversion"/>
  </si>
  <si>
    <t>김근식</t>
    <phoneticPr fontId="6" type="noConversion"/>
  </si>
  <si>
    <t>정계택</t>
    <phoneticPr fontId="6" type="noConversion"/>
  </si>
  <si>
    <t>복무규정위반(일반)</t>
    <phoneticPr fontId="6" type="noConversion"/>
  </si>
  <si>
    <t>조옥래</t>
    <phoneticPr fontId="6" type="noConversion"/>
  </si>
  <si>
    <t>관리부실(지연신고)</t>
    <phoneticPr fontId="6" type="noConversion"/>
  </si>
  <si>
    <t>2사업부</t>
  </si>
  <si>
    <t>2사업부</t>
    <phoneticPr fontId="6" type="noConversion"/>
  </si>
  <si>
    <t>3사업부</t>
    <phoneticPr fontId="6" type="noConversion"/>
  </si>
  <si>
    <t>채용절차법 위반</t>
    <phoneticPr fontId="6" type="noConversion"/>
  </si>
  <si>
    <t>1사업부</t>
    <phoneticPr fontId="6" type="noConversion"/>
  </si>
  <si>
    <t>김달호</t>
    <phoneticPr fontId="6" type="noConversion"/>
  </si>
  <si>
    <t>사우스시티</t>
    <phoneticPr fontId="6" type="noConversion"/>
  </si>
  <si>
    <t>정사균</t>
    <phoneticPr fontId="6" type="noConversion"/>
  </si>
  <si>
    <t>한지형</t>
    <phoneticPr fontId="6" type="noConversion"/>
  </si>
  <si>
    <t>박찬규</t>
    <phoneticPr fontId="6" type="noConversion"/>
  </si>
  <si>
    <t>장만수</t>
    <phoneticPr fontId="6" type="noConversion"/>
  </si>
  <si>
    <t>직장내괴롭힘, 관리부실</t>
    <phoneticPr fontId="6" type="noConversion"/>
  </si>
  <si>
    <t>직장내괴롭힘, 쌍방폭행</t>
    <phoneticPr fontId="6" type="noConversion"/>
  </si>
  <si>
    <t>합계</t>
    <phoneticPr fontId="6" type="noConversion"/>
  </si>
  <si>
    <t>복무규정위반(무단결근)</t>
    <phoneticPr fontId="6" type="noConversion"/>
  </si>
  <si>
    <t>이두희</t>
    <phoneticPr fontId="6" type="noConversion"/>
  </si>
  <si>
    <t>복무규정위반(보고 누락)</t>
    <phoneticPr fontId="6" type="noConversion"/>
  </si>
  <si>
    <t>감봉(2개월)</t>
    <phoneticPr fontId="6" type="noConversion"/>
  </si>
  <si>
    <t>복무규정위반(일반)_재심</t>
    <phoneticPr fontId="6" type="noConversion"/>
  </si>
  <si>
    <t>해고(원심유지)</t>
    <phoneticPr fontId="6" type="noConversion"/>
  </si>
  <si>
    <t>여주프리미엄빌리지</t>
  </si>
  <si>
    <t>여주프리미엄빌리지</t>
    <phoneticPr fontId="6" type="noConversion"/>
  </si>
  <si>
    <t>파트장</t>
  </si>
  <si>
    <t>이광현</t>
    <phoneticPr fontId="6" type="noConversion"/>
  </si>
  <si>
    <t>한미약품(평택)</t>
    <phoneticPr fontId="6" type="noConversion"/>
  </si>
  <si>
    <t>장봉익</t>
    <phoneticPr fontId="6" type="noConversion"/>
  </si>
  <si>
    <t>구종우</t>
    <phoneticPr fontId="6" type="noConversion"/>
  </si>
  <si>
    <t>선임</t>
    <phoneticPr fontId="6" type="noConversion"/>
  </si>
  <si>
    <t>김응천</t>
    <phoneticPr fontId="6" type="noConversion"/>
  </si>
  <si>
    <t>알파돔타워</t>
    <phoneticPr fontId="6" type="noConversion"/>
  </si>
  <si>
    <t>이해진</t>
    <phoneticPr fontId="6" type="noConversion"/>
  </si>
  <si>
    <t>의정부성모병원</t>
    <phoneticPr fontId="6" type="noConversion"/>
  </si>
  <si>
    <t>조병준</t>
    <phoneticPr fontId="6" type="noConversion"/>
  </si>
  <si>
    <t>장원봉</t>
    <phoneticPr fontId="6" type="noConversion"/>
  </si>
  <si>
    <t>홍성규</t>
    <phoneticPr fontId="6" type="noConversion"/>
  </si>
  <si>
    <t>서울드래곤시티</t>
    <phoneticPr fontId="6" type="noConversion"/>
  </si>
  <si>
    <t>이상환</t>
    <phoneticPr fontId="6" type="noConversion"/>
  </si>
  <si>
    <t>모나 용평</t>
    <phoneticPr fontId="6" type="noConversion"/>
  </si>
  <si>
    <t>유승완</t>
    <phoneticPr fontId="6" type="noConversion"/>
  </si>
  <si>
    <t>복무규정위반(보고 누락)</t>
  </si>
  <si>
    <t>강혜숙</t>
    <phoneticPr fontId="6" type="noConversion"/>
  </si>
  <si>
    <t>조명숙</t>
    <phoneticPr fontId="6" type="noConversion"/>
  </si>
  <si>
    <t>복무규정위반(주차장 부정 사용)</t>
    <phoneticPr fontId="6" type="noConversion"/>
  </si>
  <si>
    <t>감봉 1개월</t>
    <phoneticPr fontId="6" type="noConversion"/>
  </si>
  <si>
    <t>감봉 3개월</t>
    <phoneticPr fontId="6" type="noConversion"/>
  </si>
  <si>
    <t>복무규정위반(근무 중 음주)</t>
    <phoneticPr fontId="6" type="noConversion"/>
  </si>
  <si>
    <t>김민수</t>
    <phoneticPr fontId="6" type="noConversion"/>
  </si>
  <si>
    <t>김정은</t>
    <phoneticPr fontId="6" type="noConversion"/>
  </si>
  <si>
    <t>탈의실 오출입 사고</t>
    <phoneticPr fontId="6" type="noConversion"/>
  </si>
  <si>
    <t>강동구</t>
    <phoneticPr fontId="6" type="noConversion"/>
  </si>
  <si>
    <t>임근산</t>
    <phoneticPr fontId="6" type="noConversion"/>
  </si>
  <si>
    <t>직장 내 괴롭힘 및 성희롱</t>
    <phoneticPr fontId="6" type="noConversion"/>
  </si>
  <si>
    <t>견책</t>
  </si>
  <si>
    <r>
      <rPr>
        <b/>
        <sz val="10"/>
        <color rgb="FF000000"/>
        <rFont val="Segoe UI Symbol"/>
        <family val="3"/>
      </rPr>
      <t>■</t>
    </r>
    <r>
      <rPr>
        <b/>
        <sz val="10"/>
        <color rgb="FF000000"/>
        <rFont val="휴먼고딕"/>
        <family val="3"/>
        <charset val="129"/>
      </rPr>
      <t xml:space="preserve"> 202</t>
    </r>
    <r>
      <rPr>
        <b/>
        <sz val="10"/>
        <color rgb="FF000000"/>
        <rFont val="맑은 고딕"/>
        <family val="3"/>
        <charset val="129"/>
      </rPr>
      <t>3</t>
    </r>
    <r>
      <rPr>
        <b/>
        <sz val="10"/>
        <color rgb="FF000000"/>
        <rFont val="휴먼고딕"/>
        <family val="3"/>
        <charset val="129"/>
      </rPr>
      <t>년</t>
    </r>
    <phoneticPr fontId="6" type="noConversion"/>
  </si>
  <si>
    <r>
      <rPr>
        <b/>
        <sz val="10"/>
        <color rgb="FF000000"/>
        <rFont val="휴먼고딕"/>
        <family val="3"/>
      </rPr>
      <t>■</t>
    </r>
    <r>
      <rPr>
        <b/>
        <sz val="10"/>
        <color rgb="FF000000"/>
        <rFont val="휴먼고딕"/>
        <family val="3"/>
        <charset val="129"/>
      </rPr>
      <t xml:space="preserve"> 202</t>
    </r>
    <r>
      <rPr>
        <b/>
        <sz val="10"/>
        <color rgb="FF000000"/>
        <rFont val="맑은 고딕"/>
        <family val="3"/>
        <charset val="129"/>
      </rPr>
      <t>4</t>
    </r>
    <r>
      <rPr>
        <b/>
        <sz val="10"/>
        <color rgb="FF000000"/>
        <rFont val="휴먼고딕"/>
        <family val="3"/>
        <charset val="129"/>
      </rPr>
      <t>년</t>
    </r>
    <phoneticPr fontId="6" type="noConversion"/>
  </si>
  <si>
    <r>
      <rPr>
        <b/>
        <sz val="10"/>
        <color rgb="FF000000"/>
        <rFont val="Segoe UI Symbol"/>
        <family val="3"/>
      </rPr>
      <t>■</t>
    </r>
    <r>
      <rPr>
        <b/>
        <sz val="10"/>
        <color rgb="FF000000"/>
        <rFont val="휴먼고딕"/>
        <family val="3"/>
        <charset val="129"/>
      </rPr>
      <t xml:space="preserve"> 2025년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</si>
</sst>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11"/>
      <color rgb="FF000000"/>
      <name val="신명조"/>
      <family val="1"/>
      <charset val="129"/>
    </font>
    <font>
      <sz val="11"/>
      <color rgb="FF000000"/>
      <name val="맑은 고딕"/>
      <family val="3"/>
      <charset val="129"/>
      <scheme val="minor"/>
    </font>
    <font>
      <b/>
      <sz val="16"/>
      <color rgb="FF000000"/>
      <name val="맑은 고딕"/>
      <family val="3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color rgb="FF000000"/>
      <name val="휴먼고딕"/>
      <family val="3"/>
      <charset val="129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0"/>
      <color rgb="FF000000"/>
      <name val="휴먼고딕"/>
      <family val="3"/>
      <charset val="129"/>
    </font>
    <font>
      <b/>
      <sz val="10"/>
      <color rgb="FF000000"/>
      <name val="Segoe UI Symbol"/>
      <family val="3"/>
    </font>
    <font>
      <b/>
      <sz val="10"/>
      <color rgb="FF000000"/>
      <name val="맑은 고딕"/>
      <family val="3"/>
      <charset val="129"/>
    </font>
    <font>
      <b/>
      <sz val="10"/>
      <color rgb="FF000000"/>
      <name val="휴먼고딕"/>
      <family val="3"/>
    </font>
    <font>
      <strike/>
      <sz val="10"/>
      <color rgb="FF000000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</fills>
  <borders count="76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double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ck">
        <color rgb="FF000000"/>
      </right>
      <top style="double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 style="medium">
        <color indexed="64"/>
      </right>
      <top/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</borders>
  <cellStyleXfs count="1">
    <xf numFmtId="0" fontId="0" fillId="0" borderId="0">
      <alignment vertical="center"/>
    </xf>
  </cellStyleXfs>
  <cellXfs count="173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justify" vertical="center" wrapText="1"/>
    </xf>
    <xf numFmtId="0" fontId="8" fillId="0" borderId="11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justify" vertical="center" wrapText="1"/>
    </xf>
    <xf numFmtId="0" fontId="8" fillId="0" borderId="17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justify" vertical="center" wrapText="1"/>
    </xf>
    <xf numFmtId="0" fontId="8" fillId="0" borderId="14" xfId="0" applyFont="1" applyBorder="1" applyAlignment="1">
      <alignment horizontal="center" vertical="center" wrapText="1"/>
    </xf>
    <xf numFmtId="14" fontId="7" fillId="0" borderId="10" xfId="0" applyNumberFormat="1" applyFont="1" applyBorder="1" applyAlignment="1">
      <alignment horizontal="center" vertical="center" wrapText="1"/>
    </xf>
    <xf numFmtId="14" fontId="7" fillId="0" borderId="16" xfId="0" applyNumberFormat="1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14" fontId="7" fillId="0" borderId="22" xfId="0" applyNumberFormat="1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14" fontId="7" fillId="0" borderId="21" xfId="0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justify" vertical="center" wrapText="1"/>
    </xf>
    <xf numFmtId="0" fontId="8" fillId="0" borderId="26" xfId="0" applyFont="1" applyBorder="1" applyAlignment="1">
      <alignment horizontal="center" vertical="center" wrapText="1"/>
    </xf>
    <xf numFmtId="14" fontId="7" fillId="0" borderId="25" xfId="0" applyNumberFormat="1" applyFont="1" applyBorder="1" applyAlignment="1">
      <alignment horizontal="center" vertical="center" wrapText="1"/>
    </xf>
    <xf numFmtId="14" fontId="7" fillId="0" borderId="27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justify" vertical="center" wrapText="1"/>
    </xf>
    <xf numFmtId="0" fontId="7" fillId="0" borderId="21" xfId="0" applyFont="1" applyBorder="1" applyAlignment="1">
      <alignment horizontal="justify" vertical="center" wrapText="1"/>
    </xf>
    <xf numFmtId="0" fontId="7" fillId="0" borderId="27" xfId="0" applyFont="1" applyBorder="1" applyAlignment="1">
      <alignment horizontal="justify" vertical="center" wrapText="1"/>
    </xf>
    <xf numFmtId="0" fontId="7" fillId="0" borderId="28" xfId="0" applyFont="1" applyBorder="1" applyAlignment="1">
      <alignment horizontal="center" vertical="center" wrapText="1"/>
    </xf>
    <xf numFmtId="14" fontId="7" fillId="0" borderId="28" xfId="0" applyNumberFormat="1" applyFont="1" applyBorder="1" applyAlignment="1">
      <alignment horizontal="center" vertical="center" wrapText="1"/>
    </xf>
    <xf numFmtId="0" fontId="7" fillId="0" borderId="28" xfId="0" applyFont="1" applyBorder="1" applyAlignment="1">
      <alignment horizontal="justify" vertical="center" wrapText="1"/>
    </xf>
    <xf numFmtId="0" fontId="7" fillId="0" borderId="28" xfId="0" applyFont="1" applyFill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14" fontId="7" fillId="0" borderId="33" xfId="0" applyNumberFormat="1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35" xfId="0" applyFont="1" applyFill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14" fontId="7" fillId="0" borderId="35" xfId="0" applyNumberFormat="1" applyFont="1" applyBorder="1" applyAlignment="1">
      <alignment horizontal="center" vertical="center" wrapText="1"/>
    </xf>
    <xf numFmtId="0" fontId="7" fillId="0" borderId="35" xfId="0" applyFont="1" applyBorder="1" applyAlignment="1">
      <alignment horizontal="justify" vertical="center" wrapText="1"/>
    </xf>
    <xf numFmtId="14" fontId="7" fillId="0" borderId="36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38" xfId="0" applyFont="1" applyBorder="1" applyAlignment="1">
      <alignment horizontal="center" vertical="center" wrapText="1"/>
    </xf>
    <xf numFmtId="14" fontId="7" fillId="0" borderId="38" xfId="0" applyNumberFormat="1" applyFont="1" applyBorder="1" applyAlignment="1">
      <alignment horizontal="center" vertical="center" wrapText="1"/>
    </xf>
    <xf numFmtId="0" fontId="7" fillId="0" borderId="38" xfId="0" applyFont="1" applyBorder="1" applyAlignment="1">
      <alignment horizontal="justify" vertical="center" wrapText="1"/>
    </xf>
    <xf numFmtId="14" fontId="7" fillId="0" borderId="39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14" fontId="7" fillId="0" borderId="45" xfId="0" applyNumberFormat="1" applyFont="1" applyBorder="1" applyAlignment="1">
      <alignment horizontal="center" vertical="center" wrapText="1"/>
    </xf>
    <xf numFmtId="0" fontId="7" fillId="0" borderId="45" xfId="0" applyFont="1" applyBorder="1" applyAlignment="1">
      <alignment horizontal="justify" vertical="center" wrapText="1"/>
    </xf>
    <xf numFmtId="14" fontId="7" fillId="0" borderId="46" xfId="0" applyNumberFormat="1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7" fillId="0" borderId="48" xfId="0" applyFont="1" applyFill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14" fontId="7" fillId="0" borderId="50" xfId="0" applyNumberFormat="1" applyFont="1" applyBorder="1" applyAlignment="1">
      <alignment horizontal="center" vertical="center" wrapText="1"/>
    </xf>
    <xf numFmtId="0" fontId="7" fillId="0" borderId="50" xfId="0" applyFont="1" applyBorder="1" applyAlignment="1">
      <alignment horizontal="center" vertical="center" wrapText="1"/>
    </xf>
    <xf numFmtId="0" fontId="7" fillId="0" borderId="50" xfId="0" applyFont="1" applyBorder="1" applyAlignment="1">
      <alignment horizontal="justify" vertical="center" wrapText="1"/>
    </xf>
    <xf numFmtId="14" fontId="7" fillId="0" borderId="51" xfId="0" applyNumberFormat="1" applyFont="1" applyBorder="1" applyAlignment="1">
      <alignment horizontal="center" vertical="center" wrapText="1"/>
    </xf>
    <xf numFmtId="14" fontId="7" fillId="0" borderId="52" xfId="0" applyNumberFormat="1" applyFont="1" applyBorder="1" applyAlignment="1">
      <alignment horizontal="center" vertical="center" wrapText="1"/>
    </xf>
    <xf numFmtId="14" fontId="7" fillId="0" borderId="53" xfId="0" applyNumberFormat="1" applyFont="1" applyBorder="1" applyAlignment="1">
      <alignment horizontal="center" vertical="center" wrapText="1"/>
    </xf>
    <xf numFmtId="14" fontId="7" fillId="0" borderId="54" xfId="0" applyNumberFormat="1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 wrapText="1"/>
    </xf>
    <xf numFmtId="14" fontId="7" fillId="0" borderId="48" xfId="0" applyNumberFormat="1" applyFont="1" applyBorder="1" applyAlignment="1">
      <alignment horizontal="center" vertical="center" wrapText="1"/>
    </xf>
    <xf numFmtId="0" fontId="7" fillId="0" borderId="48" xfId="0" applyFont="1" applyBorder="1" applyAlignment="1">
      <alignment horizontal="justify" vertical="center" wrapText="1"/>
    </xf>
    <xf numFmtId="14" fontId="7" fillId="0" borderId="55" xfId="0" applyNumberFormat="1" applyFont="1" applyBorder="1" applyAlignment="1">
      <alignment horizontal="center" vertical="center" wrapText="1"/>
    </xf>
    <xf numFmtId="0" fontId="7" fillId="0" borderId="56" xfId="0" applyFont="1" applyBorder="1" applyAlignment="1">
      <alignment horizontal="center" vertical="center" wrapText="1"/>
    </xf>
    <xf numFmtId="14" fontId="7" fillId="0" borderId="43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justify" vertical="center" wrapText="1"/>
    </xf>
    <xf numFmtId="0" fontId="7" fillId="0" borderId="57" xfId="0" applyFont="1" applyBorder="1" applyAlignment="1">
      <alignment horizontal="center" vertical="center" wrapText="1"/>
    </xf>
    <xf numFmtId="0" fontId="7" fillId="0" borderId="58" xfId="0" applyFont="1" applyBorder="1" applyAlignment="1">
      <alignment horizontal="center" vertical="center" wrapText="1"/>
    </xf>
    <xf numFmtId="14" fontId="7" fillId="0" borderId="59" xfId="0" applyNumberFormat="1" applyFont="1" applyBorder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0" fontId="7" fillId="0" borderId="59" xfId="0" applyFont="1" applyBorder="1" applyAlignment="1">
      <alignment horizontal="justify" vertical="center" wrapText="1"/>
    </xf>
    <xf numFmtId="0" fontId="7" fillId="0" borderId="38" xfId="0" applyFont="1" applyFill="1" applyBorder="1" applyAlignment="1">
      <alignment horizontal="center" vertical="center" wrapText="1"/>
    </xf>
    <xf numFmtId="0" fontId="7" fillId="0" borderId="61" xfId="0" applyFont="1" applyBorder="1" applyAlignment="1">
      <alignment horizontal="center" vertical="center" wrapText="1"/>
    </xf>
    <xf numFmtId="14" fontId="7" fillId="0" borderId="62" xfId="0" applyNumberFormat="1" applyFont="1" applyBorder="1" applyAlignment="1">
      <alignment horizontal="center" vertical="center" wrapText="1"/>
    </xf>
    <xf numFmtId="14" fontId="7" fillId="0" borderId="57" xfId="0" applyNumberFormat="1" applyFont="1" applyBorder="1" applyAlignment="1">
      <alignment horizontal="center" vertical="center" wrapText="1"/>
    </xf>
    <xf numFmtId="14" fontId="7" fillId="0" borderId="60" xfId="0" applyNumberFormat="1" applyFont="1" applyBorder="1" applyAlignment="1">
      <alignment horizontal="center" vertical="center" wrapText="1"/>
    </xf>
    <xf numFmtId="0" fontId="4" fillId="0" borderId="63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64" xfId="0" applyFont="1" applyBorder="1" applyAlignment="1">
      <alignment horizontal="center" vertical="center" wrapText="1"/>
    </xf>
    <xf numFmtId="0" fontId="7" fillId="0" borderId="45" xfId="0" applyFont="1" applyFill="1" applyBorder="1" applyAlignment="1">
      <alignment horizontal="center" vertical="center" wrapText="1"/>
    </xf>
    <xf numFmtId="0" fontId="7" fillId="0" borderId="65" xfId="0" applyFont="1" applyBorder="1" applyAlignment="1">
      <alignment horizontal="center" vertical="center" wrapText="1"/>
    </xf>
    <xf numFmtId="14" fontId="7" fillId="0" borderId="66" xfId="0" applyNumberFormat="1" applyFont="1" applyBorder="1" applyAlignment="1">
      <alignment horizontal="center" vertical="center" wrapText="1"/>
    </xf>
    <xf numFmtId="0" fontId="7" fillId="0" borderId="66" xfId="0" applyFont="1" applyBorder="1" applyAlignment="1">
      <alignment horizontal="center" vertical="center" wrapText="1"/>
    </xf>
    <xf numFmtId="0" fontId="7" fillId="0" borderId="66" xfId="0" applyFont="1" applyBorder="1" applyAlignment="1">
      <alignment horizontal="justify" vertical="center" wrapText="1"/>
    </xf>
    <xf numFmtId="14" fontId="7" fillId="0" borderId="67" xfId="0" applyNumberFormat="1" applyFont="1" applyBorder="1" applyAlignment="1">
      <alignment horizontal="center" vertical="center" wrapText="1"/>
    </xf>
    <xf numFmtId="0" fontId="7" fillId="0" borderId="68" xfId="0" applyFont="1" applyBorder="1" applyAlignment="1">
      <alignment horizontal="center" vertical="center" wrapText="1"/>
    </xf>
    <xf numFmtId="14" fontId="7" fillId="2" borderId="43" xfId="0" applyNumberFormat="1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7" fillId="2" borderId="56" xfId="0" applyFont="1" applyFill="1" applyBorder="1" applyAlignment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3" xfId="0" applyFont="1" applyFill="1" applyBorder="1" applyAlignment="1">
      <alignment horizontal="justify" vertical="center" wrapText="1"/>
    </xf>
    <xf numFmtId="14" fontId="7" fillId="2" borderId="57" xfId="0" applyNumberFormat="1" applyFont="1" applyFill="1" applyBorder="1" applyAlignment="1">
      <alignment horizontal="center" vertical="center" wrapText="1"/>
    </xf>
    <xf numFmtId="0" fontId="7" fillId="3" borderId="32" xfId="0" applyFont="1" applyFill="1" applyBorder="1" applyAlignment="1">
      <alignment horizontal="center" vertical="center" wrapText="1"/>
    </xf>
    <xf numFmtId="0" fontId="7" fillId="3" borderId="28" xfId="0" applyFont="1" applyFill="1" applyBorder="1" applyAlignment="1">
      <alignment horizontal="center" vertical="center" wrapText="1"/>
    </xf>
    <xf numFmtId="0" fontId="7" fillId="3" borderId="56" xfId="0" applyFont="1" applyFill="1" applyBorder="1" applyAlignment="1">
      <alignment horizontal="center" vertical="center" wrapText="1"/>
    </xf>
    <xf numFmtId="14" fontId="7" fillId="3" borderId="43" xfId="0" applyNumberFormat="1" applyFont="1" applyFill="1" applyBorder="1" applyAlignment="1">
      <alignment horizontal="center" vertical="center" wrapText="1"/>
    </xf>
    <xf numFmtId="0" fontId="7" fillId="3" borderId="43" xfId="0" applyFont="1" applyFill="1" applyBorder="1" applyAlignment="1">
      <alignment horizontal="center" vertical="center" wrapText="1"/>
    </xf>
    <xf numFmtId="0" fontId="7" fillId="3" borderId="43" xfId="0" applyFont="1" applyFill="1" applyBorder="1" applyAlignment="1">
      <alignment horizontal="justify" vertical="center" wrapText="1"/>
    </xf>
    <xf numFmtId="14" fontId="7" fillId="3" borderId="57" xfId="0" applyNumberFormat="1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7" fillId="4" borderId="37" xfId="0" applyFont="1" applyFill="1" applyBorder="1" applyAlignment="1">
      <alignment horizontal="center" vertical="center" wrapText="1"/>
    </xf>
    <xf numFmtId="0" fontId="7" fillId="4" borderId="38" xfId="0" applyFont="1" applyFill="1" applyBorder="1" applyAlignment="1">
      <alignment horizontal="center" vertical="center" wrapText="1"/>
    </xf>
    <xf numFmtId="0" fontId="7" fillId="4" borderId="61" xfId="0" applyFont="1" applyFill="1" applyBorder="1" applyAlignment="1">
      <alignment horizontal="center" vertical="center" wrapText="1"/>
    </xf>
    <xf numFmtId="14" fontId="7" fillId="4" borderId="27" xfId="0" applyNumberFormat="1" applyFont="1" applyFill="1" applyBorder="1" applyAlignment="1">
      <alignment horizontal="center" vertical="center" wrapText="1"/>
    </xf>
    <xf numFmtId="0" fontId="7" fillId="4" borderId="27" xfId="0" applyFont="1" applyFill="1" applyBorder="1" applyAlignment="1">
      <alignment horizontal="center" vertical="center" wrapText="1"/>
    </xf>
    <xf numFmtId="0" fontId="7" fillId="4" borderId="27" xfId="0" applyFont="1" applyFill="1" applyBorder="1" applyAlignment="1">
      <alignment horizontal="justify" vertical="center" wrapText="1"/>
    </xf>
    <xf numFmtId="14" fontId="7" fillId="4" borderId="62" xfId="0" applyNumberFormat="1" applyFont="1" applyFill="1" applyBorder="1" applyAlignment="1">
      <alignment horizontal="center" vertical="center" wrapText="1"/>
    </xf>
    <xf numFmtId="0" fontId="7" fillId="4" borderId="32" xfId="0" applyFont="1" applyFill="1" applyBorder="1" applyAlignment="1">
      <alignment horizontal="center" vertical="center" wrapText="1"/>
    </xf>
    <xf numFmtId="0" fontId="7" fillId="4" borderId="28" xfId="0" applyFont="1" applyFill="1" applyBorder="1" applyAlignment="1">
      <alignment horizontal="center" vertical="center" wrapText="1"/>
    </xf>
    <xf numFmtId="0" fontId="7" fillId="4" borderId="56" xfId="0" applyFont="1" applyFill="1" applyBorder="1" applyAlignment="1">
      <alignment horizontal="center" vertical="center" wrapText="1"/>
    </xf>
    <xf numFmtId="14" fontId="7" fillId="4" borderId="43" xfId="0" applyNumberFormat="1" applyFont="1" applyFill="1" applyBorder="1" applyAlignment="1">
      <alignment horizontal="center" vertical="center" wrapText="1"/>
    </xf>
    <xf numFmtId="0" fontId="7" fillId="4" borderId="43" xfId="0" applyFont="1" applyFill="1" applyBorder="1" applyAlignment="1">
      <alignment horizontal="center" vertical="center" wrapText="1"/>
    </xf>
    <xf numFmtId="0" fontId="7" fillId="4" borderId="43" xfId="0" applyFont="1" applyFill="1" applyBorder="1" applyAlignment="1">
      <alignment horizontal="justify" vertical="center" wrapText="1"/>
    </xf>
    <xf numFmtId="14" fontId="7" fillId="4" borderId="57" xfId="0" applyNumberFormat="1" applyFont="1" applyFill="1" applyBorder="1" applyAlignment="1">
      <alignment horizontal="center" vertical="center" wrapText="1"/>
    </xf>
    <xf numFmtId="0" fontId="0" fillId="3" borderId="0" xfId="0" applyFill="1">
      <alignment vertical="center"/>
    </xf>
    <xf numFmtId="0" fontId="7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7" fillId="3" borderId="58" xfId="0" applyFont="1" applyFill="1" applyBorder="1" applyAlignment="1">
      <alignment horizontal="center" vertical="center" wrapText="1"/>
    </xf>
    <xf numFmtId="14" fontId="7" fillId="3" borderId="59" xfId="0" applyNumberFormat="1" applyFont="1" applyFill="1" applyBorder="1" applyAlignment="1">
      <alignment horizontal="center" vertical="center" wrapText="1"/>
    </xf>
    <xf numFmtId="0" fontId="7" fillId="3" borderId="59" xfId="0" applyFont="1" applyFill="1" applyBorder="1" applyAlignment="1">
      <alignment horizontal="center" vertical="center" wrapText="1"/>
    </xf>
    <xf numFmtId="0" fontId="7" fillId="3" borderId="59" xfId="0" applyFont="1" applyFill="1" applyBorder="1" applyAlignment="1">
      <alignment horizontal="justify" vertical="center" wrapText="1"/>
    </xf>
    <xf numFmtId="14" fontId="7" fillId="3" borderId="60" xfId="0" applyNumberFormat="1" applyFont="1" applyFill="1" applyBorder="1" applyAlignment="1">
      <alignment horizontal="center" vertical="center" wrapText="1"/>
    </xf>
    <xf numFmtId="0" fontId="0" fillId="2" borderId="0" xfId="0" applyFill="1">
      <alignment vertical="center"/>
    </xf>
    <xf numFmtId="0" fontId="0" fillId="0" borderId="69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7" fillId="0" borderId="72" xfId="0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14" fontId="7" fillId="0" borderId="74" xfId="0" applyNumberFormat="1" applyFont="1" applyBorder="1" applyAlignment="1">
      <alignment horizontal="center" vertical="center" wrapText="1"/>
    </xf>
    <xf numFmtId="0" fontId="7" fillId="0" borderId="74" xfId="0" applyFont="1" applyBorder="1" applyAlignment="1">
      <alignment horizontal="center" vertical="center" wrapText="1"/>
    </xf>
    <xf numFmtId="0" fontId="7" fillId="0" borderId="74" xfId="0" applyFont="1" applyBorder="1" applyAlignment="1">
      <alignment horizontal="justify" vertical="center" wrapText="1"/>
    </xf>
    <xf numFmtId="0" fontId="8" fillId="0" borderId="75" xfId="0" applyFont="1" applyBorder="1" applyAlignment="1">
      <alignment horizontal="center" vertical="center" wrapText="1"/>
    </xf>
    <xf numFmtId="0" fontId="0" fillId="0" borderId="0" xfId="0" applyFill="1">
      <alignment vertical="center"/>
    </xf>
    <xf numFmtId="0" fontId="11" fillId="3" borderId="34" xfId="0" applyFont="1" applyFill="1" applyBorder="1" applyAlignment="1">
      <alignment horizontal="center" vertical="center" wrapText="1"/>
    </xf>
    <xf numFmtId="0" fontId="11" fillId="3" borderId="35" xfId="0" applyFont="1" applyFill="1" applyBorder="1" applyAlignment="1">
      <alignment horizontal="center" vertical="center" wrapText="1"/>
    </xf>
    <xf numFmtId="0" fontId="11" fillId="3" borderId="58" xfId="0" applyFont="1" applyFill="1" applyBorder="1" applyAlignment="1">
      <alignment horizontal="center" vertical="center" wrapText="1"/>
    </xf>
    <xf numFmtId="14" fontId="11" fillId="3" borderId="59" xfId="0" applyNumberFormat="1" applyFont="1" applyFill="1" applyBorder="1" applyAlignment="1">
      <alignment horizontal="center" vertical="center" wrapText="1"/>
    </xf>
    <xf numFmtId="0" fontId="11" fillId="3" borderId="59" xfId="0" applyFont="1" applyFill="1" applyBorder="1" applyAlignment="1">
      <alignment horizontal="center" vertical="center" wrapText="1"/>
    </xf>
    <xf numFmtId="0" fontId="11" fillId="3" borderId="59" xfId="0" applyFont="1" applyFill="1" applyBorder="1" applyAlignment="1">
      <alignment horizontal="justify" vertical="center" wrapText="1"/>
    </xf>
    <xf numFmtId="14" fontId="11" fillId="3" borderId="60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13" fillId="5" borderId="28" xfId="0" applyFont="1" applyFill="1" applyBorder="1" applyAlignment="1">
      <alignment horizontal="center" vertical="center" wrapText="1"/>
    </xf>
    <xf numFmtId="0" fontId="13" fillId="5" borderId="56" xfId="0" applyFont="1" applyFill="1" applyBorder="1" applyAlignment="1">
      <alignment horizontal="center" vertical="center" wrapText="1"/>
    </xf>
    <xf numFmtId="14" fontId="13" fillId="5" borderId="43" xfId="0" applyNumberFormat="1" applyFont="1" applyFill="1" applyBorder="1" applyAlignment="1">
      <alignment horizontal="center" vertical="center" wrapText="1"/>
    </xf>
    <xf numFmtId="0" fontId="13" fillId="5" borderId="43" xfId="0" applyFont="1" applyFill="1" applyBorder="1" applyAlignment="1">
      <alignment horizontal="center" vertical="center" wrapText="1"/>
    </xf>
    <xf numFmtId="0" fontId="13" fillId="5" borderId="43" xfId="0" applyFont="1" applyFill="1" applyBorder="1" applyAlignment="1">
      <alignment horizontal="justify" vertical="center" wrapText="1"/>
    </xf>
    <xf numFmtId="14" fontId="13" fillId="5" borderId="57" xfId="0" applyNumberFormat="1" applyFont="1" applyFill="1" applyBorder="1" applyAlignment="1">
      <alignment horizontal="center" vertical="center" wrapText="1"/>
    </xf>
    <xf numFmtId="0" fontId="0" fillId="5" borderId="0" xfId="0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45023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8848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8848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8848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110623</xdr:colOff>
      <xdr:row>0</xdr:row>
      <xdr:rowOff>47625</xdr:rowOff>
    </xdr:from>
    <xdr:to>
      <xdr:col>11</xdr:col>
      <xdr:colOff>25775</xdr:colOff>
      <xdr:row>2</xdr:row>
      <xdr:rowOff>76200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8848" y="47625"/>
          <a:ext cx="1229602" cy="4476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405898</xdr:colOff>
      <xdr:row>0</xdr:row>
      <xdr:rowOff>57150</xdr:rowOff>
    </xdr:from>
    <xdr:to>
      <xdr:col>9</xdr:col>
      <xdr:colOff>683000</xdr:colOff>
      <xdr:row>2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1B15FA0-2CB8-45FC-8CEA-039A98B3F5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1098" y="57150"/>
          <a:ext cx="1229602" cy="447675"/>
        </a:xfrm>
        <a:prstGeom prst="rect">
          <a:avLst/>
        </a:prstGeom>
      </xdr:spPr>
    </xdr:pic>
    <xdr:clientData/>
  </xdr:twoCellAnchor>
  <xdr:twoCellAnchor>
    <xdr:from>
      <xdr:col>0</xdr:col>
      <xdr:colOff>66675</xdr:colOff>
      <xdr:row>9</xdr:row>
      <xdr:rowOff>133350</xdr:rowOff>
    </xdr:from>
    <xdr:to>
      <xdr:col>9</xdr:col>
      <xdr:colOff>923925</xdr:colOff>
      <xdr:row>9</xdr:row>
      <xdr:rowOff>133350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CD6DCFB5-E212-4A0C-8E5D-A2625DD2246A}"/>
            </a:ext>
          </a:extLst>
        </xdr:cNvPr>
        <xdr:cNvCxnSpPr/>
      </xdr:nvCxnSpPr>
      <xdr:spPr>
        <a:xfrm>
          <a:off x="66675" y="37137975"/>
          <a:ext cx="9124950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66675</xdr:colOff>
      <xdr:row>9</xdr:row>
      <xdr:rowOff>180975</xdr:rowOff>
    </xdr:from>
    <xdr:to>
      <xdr:col>9</xdr:col>
      <xdr:colOff>923925</xdr:colOff>
      <xdr:row>9</xdr:row>
      <xdr:rowOff>180975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D1E2FB0C-4FDD-489E-961B-A838C75514E7}"/>
            </a:ext>
          </a:extLst>
        </xdr:cNvPr>
        <xdr:cNvCxnSpPr/>
      </xdr:nvCxnSpPr>
      <xdr:spPr>
        <a:xfrm>
          <a:off x="66675" y="37185600"/>
          <a:ext cx="9124950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405898</xdr:colOff>
      <xdr:row>0</xdr:row>
      <xdr:rowOff>57150</xdr:rowOff>
    </xdr:from>
    <xdr:to>
      <xdr:col>9</xdr:col>
      <xdr:colOff>683000</xdr:colOff>
      <xdr:row>2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4C5B752-FFFF-44FC-B01B-94BD03FA1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1098" y="57150"/>
          <a:ext cx="1229602" cy="4476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405898</xdr:colOff>
      <xdr:row>0</xdr:row>
      <xdr:rowOff>57150</xdr:rowOff>
    </xdr:from>
    <xdr:to>
      <xdr:col>9</xdr:col>
      <xdr:colOff>683000</xdr:colOff>
      <xdr:row>2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EF3380E-F434-4D66-910C-A2D447864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21098" y="57150"/>
          <a:ext cx="1229602" cy="4476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405898</xdr:colOff>
      <xdr:row>0</xdr:row>
      <xdr:rowOff>57150</xdr:rowOff>
    </xdr:from>
    <xdr:to>
      <xdr:col>9</xdr:col>
      <xdr:colOff>683000</xdr:colOff>
      <xdr:row>2</xdr:row>
      <xdr:rowOff>85725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92473" y="57150"/>
          <a:ext cx="1229602" cy="447675"/>
        </a:xfrm>
        <a:prstGeom prst="rect">
          <a:avLst/>
        </a:prstGeom>
      </xdr:spPr>
    </xdr:pic>
    <xdr:clientData/>
  </xdr:twoCellAnchor>
  <xdr:twoCellAnchor>
    <xdr:from>
      <xdr:col>0</xdr:col>
      <xdr:colOff>66675</xdr:colOff>
      <xdr:row>119</xdr:row>
      <xdr:rowOff>133350</xdr:rowOff>
    </xdr:from>
    <xdr:to>
      <xdr:col>9</xdr:col>
      <xdr:colOff>923925</xdr:colOff>
      <xdr:row>119</xdr:row>
      <xdr:rowOff>133350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CxnSpPr/>
      </xdr:nvCxnSpPr>
      <xdr:spPr>
        <a:xfrm>
          <a:off x="66675" y="36861750"/>
          <a:ext cx="8982075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66675</xdr:colOff>
      <xdr:row>119</xdr:row>
      <xdr:rowOff>180975</xdr:rowOff>
    </xdr:from>
    <xdr:to>
      <xdr:col>9</xdr:col>
      <xdr:colOff>923925</xdr:colOff>
      <xdr:row>119</xdr:row>
      <xdr:rowOff>180975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CxnSpPr/>
      </xdr:nvCxnSpPr>
      <xdr:spPr>
        <a:xfrm>
          <a:off x="66675" y="37185600"/>
          <a:ext cx="9124950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23"/>
  <sheetViews>
    <sheetView showWhiteSpace="0" zoomScaleNormal="100" workbookViewId="0">
      <selection activeCell="G25" sqref="G25"/>
    </sheetView>
  </sheetViews>
  <sheetFormatPr defaultRowHeight="16.5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>
      <c r="A2" s="1" t="s">
        <v>0</v>
      </c>
      <c r="B2" s="1"/>
    </row>
    <row r="3" spans="1:11" ht="26.25">
      <c r="A3" s="156" t="s">
        <v>1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</row>
    <row r="4" spans="1:11" ht="17.25" thickBot="1">
      <c r="A4" s="22" t="s">
        <v>60</v>
      </c>
      <c r="B4" s="2"/>
    </row>
    <row r="5" spans="1:11" ht="21.95" customHeight="1" thickTop="1">
      <c r="A5" s="157" t="s">
        <v>2</v>
      </c>
      <c r="B5" s="152" t="s">
        <v>33</v>
      </c>
      <c r="C5" s="152" t="s">
        <v>3</v>
      </c>
      <c r="D5" s="152" t="s">
        <v>4</v>
      </c>
      <c r="E5" s="152" t="s">
        <v>5</v>
      </c>
      <c r="F5" s="152" t="s">
        <v>6</v>
      </c>
      <c r="G5" s="152" t="s">
        <v>7</v>
      </c>
      <c r="H5" s="152" t="s">
        <v>8</v>
      </c>
      <c r="I5" s="152" t="s">
        <v>9</v>
      </c>
      <c r="J5" s="154" t="s">
        <v>10</v>
      </c>
      <c r="K5" s="155"/>
    </row>
    <row r="6" spans="1:11" ht="21.95" customHeight="1" thickBot="1">
      <c r="A6" s="158"/>
      <c r="B6" s="153"/>
      <c r="C6" s="153"/>
      <c r="D6" s="153"/>
      <c r="E6" s="153"/>
      <c r="F6" s="153"/>
      <c r="G6" s="153"/>
      <c r="H6" s="153"/>
      <c r="I6" s="153"/>
      <c r="J6" s="3" t="s">
        <v>11</v>
      </c>
      <c r="K6" s="4" t="s">
        <v>12</v>
      </c>
    </row>
    <row r="7" spans="1:11" ht="21.95" customHeight="1" thickTop="1">
      <c r="A7" s="5">
        <v>1</v>
      </c>
      <c r="B7" s="19" t="s">
        <v>34</v>
      </c>
      <c r="C7" s="17">
        <v>43158</v>
      </c>
      <c r="D7" s="6" t="s">
        <v>13</v>
      </c>
      <c r="E7" s="6" t="s">
        <v>14</v>
      </c>
      <c r="F7" s="6" t="s">
        <v>15</v>
      </c>
      <c r="G7" s="7" t="s">
        <v>16</v>
      </c>
      <c r="H7" s="6" t="s">
        <v>17</v>
      </c>
      <c r="I7" s="17">
        <v>43158</v>
      </c>
      <c r="J7" s="6"/>
      <c r="K7" s="8"/>
    </row>
    <row r="8" spans="1:11" ht="21.95" customHeight="1">
      <c r="A8" s="9">
        <v>2</v>
      </c>
      <c r="B8" s="20" t="s">
        <v>35</v>
      </c>
      <c r="C8" s="18">
        <v>43270</v>
      </c>
      <c r="D8" s="10" t="s">
        <v>18</v>
      </c>
      <c r="E8" s="10" t="s">
        <v>14</v>
      </c>
      <c r="F8" s="10" t="s">
        <v>21</v>
      </c>
      <c r="G8" s="11" t="s">
        <v>22</v>
      </c>
      <c r="H8" s="10" t="s">
        <v>24</v>
      </c>
      <c r="I8" s="18">
        <v>43270</v>
      </c>
      <c r="J8" s="10"/>
      <c r="K8" s="12"/>
    </row>
    <row r="9" spans="1:11" ht="21.95" customHeight="1">
      <c r="A9" s="9">
        <v>3</v>
      </c>
      <c r="B9" s="20" t="s">
        <v>35</v>
      </c>
      <c r="C9" s="18">
        <v>43270</v>
      </c>
      <c r="D9" s="10" t="s">
        <v>18</v>
      </c>
      <c r="E9" s="10" t="s">
        <v>19</v>
      </c>
      <c r="F9" s="10" t="s">
        <v>20</v>
      </c>
      <c r="G9" s="11" t="s">
        <v>23</v>
      </c>
      <c r="H9" s="10" t="s">
        <v>25</v>
      </c>
      <c r="I9" s="18">
        <v>43270</v>
      </c>
      <c r="J9" s="10"/>
      <c r="K9" s="12"/>
    </row>
    <row r="10" spans="1:11" ht="21.95" customHeight="1">
      <c r="A10" s="9">
        <v>4</v>
      </c>
      <c r="B10" s="20" t="s">
        <v>35</v>
      </c>
      <c r="C10" s="18">
        <v>43270</v>
      </c>
      <c r="D10" s="10" t="s">
        <v>26</v>
      </c>
      <c r="E10" s="10" t="s">
        <v>14</v>
      </c>
      <c r="F10" s="10" t="s">
        <v>27</v>
      </c>
      <c r="G10" s="11" t="s">
        <v>31</v>
      </c>
      <c r="H10" s="10" t="s">
        <v>30</v>
      </c>
      <c r="I10" s="18">
        <v>43270</v>
      </c>
      <c r="J10" s="10"/>
      <c r="K10" s="12"/>
    </row>
    <row r="11" spans="1:11" ht="21.95" customHeight="1">
      <c r="A11" s="9">
        <v>5</v>
      </c>
      <c r="B11" s="20" t="s">
        <v>35</v>
      </c>
      <c r="C11" s="18">
        <v>43270</v>
      </c>
      <c r="D11" s="10" t="s">
        <v>26</v>
      </c>
      <c r="E11" s="10" t="s">
        <v>28</v>
      </c>
      <c r="F11" s="10" t="s">
        <v>29</v>
      </c>
      <c r="G11" s="11" t="s">
        <v>32</v>
      </c>
      <c r="H11" s="10" t="s">
        <v>25</v>
      </c>
      <c r="I11" s="18">
        <v>43270</v>
      </c>
      <c r="J11" s="10"/>
      <c r="K11" s="12"/>
    </row>
    <row r="12" spans="1:11" ht="21.95" customHeight="1">
      <c r="A12" s="9">
        <v>6</v>
      </c>
      <c r="B12" s="20" t="s">
        <v>34</v>
      </c>
      <c r="C12" s="18">
        <v>43328</v>
      </c>
      <c r="D12" s="10" t="s">
        <v>36</v>
      </c>
      <c r="E12" s="10" t="s">
        <v>37</v>
      </c>
      <c r="F12" s="10" t="s">
        <v>38</v>
      </c>
      <c r="G12" s="11" t="s">
        <v>40</v>
      </c>
      <c r="H12" s="10" t="s">
        <v>17</v>
      </c>
      <c r="I12" s="18">
        <v>43328</v>
      </c>
      <c r="J12" s="10"/>
      <c r="K12" s="12"/>
    </row>
    <row r="13" spans="1:11" ht="21.95" customHeight="1">
      <c r="A13" s="9">
        <v>7</v>
      </c>
      <c r="B13" s="20" t="s">
        <v>34</v>
      </c>
      <c r="C13" s="18">
        <v>43328</v>
      </c>
      <c r="D13" s="10" t="s">
        <v>36</v>
      </c>
      <c r="E13" s="10" t="s">
        <v>37</v>
      </c>
      <c r="F13" s="10" t="s">
        <v>39</v>
      </c>
      <c r="G13" s="11" t="s">
        <v>40</v>
      </c>
      <c r="H13" s="10" t="s">
        <v>41</v>
      </c>
      <c r="I13" s="18">
        <v>43328</v>
      </c>
      <c r="J13" s="10"/>
      <c r="K13" s="12"/>
    </row>
    <row r="14" spans="1:11" ht="21.95" customHeight="1">
      <c r="A14" s="9">
        <v>8</v>
      </c>
      <c r="B14" s="20" t="s">
        <v>35</v>
      </c>
      <c r="C14" s="18">
        <v>43355</v>
      </c>
      <c r="D14" s="10" t="s">
        <v>42</v>
      </c>
      <c r="E14" s="10" t="s">
        <v>43</v>
      </c>
      <c r="F14" s="10" t="s">
        <v>44</v>
      </c>
      <c r="G14" s="11" t="s">
        <v>22</v>
      </c>
      <c r="H14" s="10" t="s">
        <v>30</v>
      </c>
      <c r="I14" s="18">
        <v>43355</v>
      </c>
      <c r="J14" s="10"/>
      <c r="K14" s="12"/>
    </row>
    <row r="15" spans="1:11" ht="21.95" customHeight="1">
      <c r="A15" s="9">
        <v>9</v>
      </c>
      <c r="B15" s="20" t="s">
        <v>35</v>
      </c>
      <c r="C15" s="18">
        <v>43363</v>
      </c>
      <c r="D15" s="10" t="s">
        <v>45</v>
      </c>
      <c r="E15" s="10" t="s">
        <v>14</v>
      </c>
      <c r="F15" s="10" t="s">
        <v>46</v>
      </c>
      <c r="G15" s="11" t="s">
        <v>52</v>
      </c>
      <c r="H15" s="10" t="s">
        <v>30</v>
      </c>
      <c r="I15" s="18">
        <v>43363</v>
      </c>
      <c r="J15" s="10"/>
      <c r="K15" s="12"/>
    </row>
    <row r="16" spans="1:11" ht="21.95" customHeight="1">
      <c r="A16" s="9">
        <v>10</v>
      </c>
      <c r="B16" s="20" t="s">
        <v>35</v>
      </c>
      <c r="C16" s="18">
        <v>43363</v>
      </c>
      <c r="D16" s="10" t="s">
        <v>45</v>
      </c>
      <c r="E16" s="10" t="s">
        <v>47</v>
      </c>
      <c r="F16" s="10" t="s">
        <v>48</v>
      </c>
      <c r="G16" s="11" t="s">
        <v>52</v>
      </c>
      <c r="H16" s="10" t="s">
        <v>30</v>
      </c>
      <c r="I16" s="18">
        <v>43363</v>
      </c>
      <c r="J16" s="10"/>
      <c r="K16" s="12"/>
    </row>
    <row r="17" spans="1:11" ht="21.95" customHeight="1">
      <c r="A17" s="9">
        <v>11</v>
      </c>
      <c r="B17" s="20" t="s">
        <v>35</v>
      </c>
      <c r="C17" s="18">
        <v>43363</v>
      </c>
      <c r="D17" s="10" t="s">
        <v>45</v>
      </c>
      <c r="E17" s="10" t="s">
        <v>43</v>
      </c>
      <c r="F17" s="10" t="s">
        <v>49</v>
      </c>
      <c r="G17" s="11" t="s">
        <v>53</v>
      </c>
      <c r="H17" s="10" t="s">
        <v>25</v>
      </c>
      <c r="I17" s="18">
        <v>43363</v>
      </c>
      <c r="J17" s="10"/>
      <c r="K17" s="12"/>
    </row>
    <row r="18" spans="1:11" ht="21.95" customHeight="1">
      <c r="A18" s="9">
        <v>12</v>
      </c>
      <c r="B18" s="20" t="s">
        <v>35</v>
      </c>
      <c r="C18" s="18">
        <v>43363</v>
      </c>
      <c r="D18" s="10" t="s">
        <v>45</v>
      </c>
      <c r="E18" s="10" t="s">
        <v>50</v>
      </c>
      <c r="F18" s="10" t="s">
        <v>51</v>
      </c>
      <c r="G18" s="11" t="s">
        <v>53</v>
      </c>
      <c r="H18" s="10" t="s">
        <v>25</v>
      </c>
      <c r="I18" s="18">
        <v>43363</v>
      </c>
      <c r="J18" s="10"/>
      <c r="K18" s="12"/>
    </row>
    <row r="19" spans="1:11" ht="21.95" customHeight="1">
      <c r="A19" s="9">
        <v>13</v>
      </c>
      <c r="B19" s="20" t="s">
        <v>34</v>
      </c>
      <c r="C19" s="18">
        <v>43399</v>
      </c>
      <c r="D19" s="10" t="s">
        <v>54</v>
      </c>
      <c r="E19" s="10" t="s">
        <v>55</v>
      </c>
      <c r="F19" s="10" t="s">
        <v>56</v>
      </c>
      <c r="G19" s="11" t="s">
        <v>204</v>
      </c>
      <c r="H19" s="10" t="s">
        <v>202</v>
      </c>
      <c r="I19" s="18">
        <v>43399</v>
      </c>
      <c r="J19" s="10"/>
      <c r="K19" s="12"/>
    </row>
    <row r="20" spans="1:11" ht="21.95" customHeight="1">
      <c r="A20" s="9">
        <v>14</v>
      </c>
      <c r="B20" s="20" t="s">
        <v>34</v>
      </c>
      <c r="C20" s="18">
        <v>43399</v>
      </c>
      <c r="D20" s="10" t="s">
        <v>54</v>
      </c>
      <c r="E20" s="10" t="s">
        <v>14</v>
      </c>
      <c r="F20" s="10" t="s">
        <v>57</v>
      </c>
      <c r="G20" s="11" t="s">
        <v>58</v>
      </c>
      <c r="H20" s="10" t="s">
        <v>203</v>
      </c>
      <c r="I20" s="18">
        <v>43399</v>
      </c>
      <c r="J20" s="10"/>
      <c r="K20" s="12"/>
    </row>
    <row r="21" spans="1:11" ht="21.95" customHeight="1">
      <c r="A21" s="9">
        <v>15</v>
      </c>
      <c r="B21" s="20"/>
      <c r="C21" s="10"/>
      <c r="D21" s="10"/>
      <c r="E21" s="10"/>
      <c r="F21" s="10"/>
      <c r="G21" s="11"/>
      <c r="H21" s="10"/>
      <c r="I21" s="10"/>
      <c r="J21" s="10"/>
      <c r="K21" s="12"/>
    </row>
    <row r="22" spans="1:11" ht="21.95" customHeight="1" thickBot="1">
      <c r="A22" s="13">
        <v>16</v>
      </c>
      <c r="B22" s="21"/>
      <c r="C22" s="14"/>
      <c r="D22" s="14"/>
      <c r="E22" s="14"/>
      <c r="F22" s="14"/>
      <c r="G22" s="15"/>
      <c r="H22" s="14"/>
      <c r="I22" s="14"/>
      <c r="J22" s="14"/>
      <c r="K22" s="16"/>
    </row>
    <row r="23" spans="1:11" ht="17.25" thickTop="1"/>
  </sheetData>
  <mergeCells count="11">
    <mergeCell ref="H5:H6"/>
    <mergeCell ref="I5:I6"/>
    <mergeCell ref="J5:K5"/>
    <mergeCell ref="A3:K3"/>
    <mergeCell ref="B5:B6"/>
    <mergeCell ref="A5:A6"/>
    <mergeCell ref="C5:C6"/>
    <mergeCell ref="D5:D6"/>
    <mergeCell ref="E5:E6"/>
    <mergeCell ref="F5:F6"/>
    <mergeCell ref="G5:G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6"/>
  <sheetViews>
    <sheetView showWhiteSpace="0" topLeftCell="A10" zoomScaleNormal="100" workbookViewId="0">
      <selection activeCell="G31" sqref="G31"/>
    </sheetView>
  </sheetViews>
  <sheetFormatPr defaultRowHeight="16.5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>
      <c r="A2" s="1" t="s">
        <v>0</v>
      </c>
      <c r="B2" s="1"/>
    </row>
    <row r="3" spans="1:11" ht="26.25">
      <c r="A3" s="156" t="s">
        <v>1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</row>
    <row r="4" spans="1:11" ht="17.25" thickBot="1">
      <c r="A4" s="22" t="s">
        <v>61</v>
      </c>
      <c r="B4" s="2"/>
    </row>
    <row r="5" spans="1:11" ht="21.95" customHeight="1" thickTop="1">
      <c r="A5" s="157" t="s">
        <v>2</v>
      </c>
      <c r="B5" s="152" t="s">
        <v>33</v>
      </c>
      <c r="C5" s="152" t="s">
        <v>3</v>
      </c>
      <c r="D5" s="152" t="s">
        <v>4</v>
      </c>
      <c r="E5" s="152" t="s">
        <v>5</v>
      </c>
      <c r="F5" s="152" t="s">
        <v>6</v>
      </c>
      <c r="G5" s="152" t="s">
        <v>7</v>
      </c>
      <c r="H5" s="152" t="s">
        <v>8</v>
      </c>
      <c r="I5" s="152" t="s">
        <v>9</v>
      </c>
      <c r="J5" s="154" t="s">
        <v>10</v>
      </c>
      <c r="K5" s="155"/>
    </row>
    <row r="6" spans="1:11" ht="21.95" customHeight="1" thickBot="1">
      <c r="A6" s="158"/>
      <c r="B6" s="153"/>
      <c r="C6" s="153"/>
      <c r="D6" s="153"/>
      <c r="E6" s="153"/>
      <c r="F6" s="153"/>
      <c r="G6" s="153"/>
      <c r="H6" s="153"/>
      <c r="I6" s="153"/>
      <c r="J6" s="3" t="s">
        <v>11</v>
      </c>
      <c r="K6" s="4" t="s">
        <v>12</v>
      </c>
    </row>
    <row r="7" spans="1:11" ht="21.95" customHeight="1" thickTop="1">
      <c r="A7" s="5">
        <v>1</v>
      </c>
      <c r="B7" s="20" t="s">
        <v>35</v>
      </c>
      <c r="C7" s="25">
        <v>43551</v>
      </c>
      <c r="D7" s="26" t="s">
        <v>62</v>
      </c>
      <c r="E7" s="6" t="s">
        <v>63</v>
      </c>
      <c r="F7" s="6" t="s">
        <v>64</v>
      </c>
      <c r="G7" s="7" t="s">
        <v>67</v>
      </c>
      <c r="H7" s="6" t="s">
        <v>69</v>
      </c>
      <c r="I7" s="17">
        <v>43551</v>
      </c>
      <c r="J7" s="6"/>
      <c r="K7" s="8"/>
    </row>
    <row r="8" spans="1:11" ht="21.95" customHeight="1">
      <c r="A8" s="9">
        <v>2</v>
      </c>
      <c r="B8" s="20" t="s">
        <v>35</v>
      </c>
      <c r="C8" s="23">
        <v>43551</v>
      </c>
      <c r="D8" s="24" t="s">
        <v>62</v>
      </c>
      <c r="E8" s="10" t="s">
        <v>65</v>
      </c>
      <c r="F8" s="10" t="s">
        <v>66</v>
      </c>
      <c r="G8" s="11" t="s">
        <v>68</v>
      </c>
      <c r="H8" s="10" t="s">
        <v>70</v>
      </c>
      <c r="I8" s="18">
        <v>43551</v>
      </c>
      <c r="J8" s="10"/>
      <c r="K8" s="12"/>
    </row>
    <row r="9" spans="1:11" ht="21.95" customHeight="1">
      <c r="A9" s="9">
        <v>3</v>
      </c>
      <c r="B9" s="20" t="s">
        <v>71</v>
      </c>
      <c r="C9" s="18">
        <v>43658</v>
      </c>
      <c r="D9" s="10" t="s">
        <v>72</v>
      </c>
      <c r="E9" s="10" t="s">
        <v>73</v>
      </c>
      <c r="F9" s="10" t="s">
        <v>74</v>
      </c>
      <c r="G9" s="11" t="s">
        <v>76</v>
      </c>
      <c r="H9" s="10" t="s">
        <v>69</v>
      </c>
      <c r="I9" s="18">
        <v>43658</v>
      </c>
      <c r="J9" s="10"/>
      <c r="K9" s="12"/>
    </row>
    <row r="10" spans="1:11" ht="21.95" customHeight="1">
      <c r="A10" s="9">
        <v>4</v>
      </c>
      <c r="B10" s="20" t="s">
        <v>71</v>
      </c>
      <c r="C10" s="18">
        <v>43658</v>
      </c>
      <c r="D10" s="10" t="s">
        <v>72</v>
      </c>
      <c r="E10" s="10" t="s">
        <v>65</v>
      </c>
      <c r="F10" s="10" t="s">
        <v>75</v>
      </c>
      <c r="G10" s="11" t="s">
        <v>76</v>
      </c>
      <c r="H10" s="10" t="s">
        <v>70</v>
      </c>
      <c r="I10" s="18">
        <v>43658</v>
      </c>
      <c r="J10" s="10"/>
      <c r="K10" s="12"/>
    </row>
    <row r="11" spans="1:11" ht="21.95" customHeight="1">
      <c r="A11" s="9">
        <v>5</v>
      </c>
      <c r="B11" s="20" t="s">
        <v>34</v>
      </c>
      <c r="C11" s="18">
        <v>43733</v>
      </c>
      <c r="D11" s="10" t="s">
        <v>77</v>
      </c>
      <c r="E11" s="10" t="s">
        <v>78</v>
      </c>
      <c r="F11" s="10" t="s">
        <v>79</v>
      </c>
      <c r="G11" s="11" t="s">
        <v>80</v>
      </c>
      <c r="H11" s="10" t="s">
        <v>81</v>
      </c>
      <c r="I11" s="18">
        <v>43733</v>
      </c>
      <c r="J11" s="10"/>
      <c r="K11" s="12"/>
    </row>
    <row r="12" spans="1:11" ht="21.95" customHeight="1">
      <c r="A12" s="9">
        <v>6</v>
      </c>
      <c r="B12" s="20" t="s">
        <v>34</v>
      </c>
      <c r="C12" s="18">
        <v>43733</v>
      </c>
      <c r="D12" s="10" t="s">
        <v>77</v>
      </c>
      <c r="E12" s="10" t="s">
        <v>43</v>
      </c>
      <c r="F12" s="10" t="s">
        <v>83</v>
      </c>
      <c r="G12" s="11" t="s">
        <v>85</v>
      </c>
      <c r="H12" s="10" t="s">
        <v>25</v>
      </c>
      <c r="I12" s="18">
        <v>43733</v>
      </c>
      <c r="J12" s="10"/>
      <c r="K12" s="12"/>
    </row>
    <row r="13" spans="1:11" ht="21.95" customHeight="1">
      <c r="A13" s="9">
        <v>7</v>
      </c>
      <c r="B13" s="20" t="s">
        <v>34</v>
      </c>
      <c r="C13" s="18">
        <v>43733</v>
      </c>
      <c r="D13" s="10" t="s">
        <v>77</v>
      </c>
      <c r="E13" s="10" t="s">
        <v>82</v>
      </c>
      <c r="F13" s="10" t="s">
        <v>84</v>
      </c>
      <c r="G13" s="11" t="s">
        <v>86</v>
      </c>
      <c r="H13" s="10" t="s">
        <v>87</v>
      </c>
      <c r="I13" s="18">
        <v>43733</v>
      </c>
      <c r="J13" s="10"/>
      <c r="K13" s="12"/>
    </row>
    <row r="14" spans="1:11" ht="21.95" customHeight="1">
      <c r="A14" s="9">
        <v>8</v>
      </c>
      <c r="B14" s="20" t="s">
        <v>35</v>
      </c>
      <c r="C14" s="18">
        <v>43753</v>
      </c>
      <c r="D14" s="10" t="s">
        <v>88</v>
      </c>
      <c r="E14" s="10" t="s">
        <v>89</v>
      </c>
      <c r="F14" s="10" t="s">
        <v>90</v>
      </c>
      <c r="G14" s="11" t="s">
        <v>91</v>
      </c>
      <c r="H14" s="10" t="s">
        <v>25</v>
      </c>
      <c r="I14" s="18">
        <v>43753</v>
      </c>
      <c r="J14" s="10"/>
      <c r="K14" s="12"/>
    </row>
    <row r="15" spans="1:11" ht="21.95" customHeight="1">
      <c r="A15" s="9">
        <v>9</v>
      </c>
      <c r="B15" s="20" t="s">
        <v>35</v>
      </c>
      <c r="C15" s="18">
        <v>43753</v>
      </c>
      <c r="D15" s="10" t="s">
        <v>88</v>
      </c>
      <c r="E15" s="10" t="s">
        <v>92</v>
      </c>
      <c r="F15" s="10" t="s">
        <v>93</v>
      </c>
      <c r="G15" s="11" t="s">
        <v>91</v>
      </c>
      <c r="H15" s="10" t="s">
        <v>97</v>
      </c>
      <c r="I15" s="18">
        <v>43753</v>
      </c>
      <c r="J15" s="10"/>
      <c r="K15" s="12"/>
    </row>
    <row r="16" spans="1:11" ht="21.95" customHeight="1">
      <c r="A16" s="9">
        <v>10</v>
      </c>
      <c r="B16" s="20" t="s">
        <v>35</v>
      </c>
      <c r="C16" s="18">
        <v>43753</v>
      </c>
      <c r="D16" s="10" t="s">
        <v>88</v>
      </c>
      <c r="E16" s="10" t="s">
        <v>92</v>
      </c>
      <c r="F16" s="10" t="s">
        <v>94</v>
      </c>
      <c r="G16" s="11" t="s">
        <v>91</v>
      </c>
      <c r="H16" s="10" t="s">
        <v>97</v>
      </c>
      <c r="I16" s="18">
        <v>43753</v>
      </c>
      <c r="J16" s="10"/>
      <c r="K16" s="12"/>
    </row>
    <row r="17" spans="1:11" ht="21.95" customHeight="1">
      <c r="A17" s="9">
        <v>11</v>
      </c>
      <c r="B17" s="20" t="s">
        <v>35</v>
      </c>
      <c r="C17" s="18">
        <v>43753</v>
      </c>
      <c r="D17" s="10" t="s">
        <v>88</v>
      </c>
      <c r="E17" s="10" t="s">
        <v>92</v>
      </c>
      <c r="F17" s="10" t="s">
        <v>95</v>
      </c>
      <c r="G17" s="11" t="s">
        <v>91</v>
      </c>
      <c r="H17" s="10" t="s">
        <v>97</v>
      </c>
      <c r="I17" s="18">
        <v>43753</v>
      </c>
      <c r="J17" s="10"/>
      <c r="K17" s="12"/>
    </row>
    <row r="18" spans="1:11" ht="21.95" customHeight="1">
      <c r="A18" s="9">
        <v>12</v>
      </c>
      <c r="B18" s="20" t="s">
        <v>35</v>
      </c>
      <c r="C18" s="18">
        <v>43753</v>
      </c>
      <c r="D18" s="10" t="s">
        <v>88</v>
      </c>
      <c r="E18" s="10" t="s">
        <v>92</v>
      </c>
      <c r="F18" s="10" t="s">
        <v>96</v>
      </c>
      <c r="G18" s="11" t="s">
        <v>91</v>
      </c>
      <c r="H18" s="10" t="s">
        <v>97</v>
      </c>
      <c r="I18" s="18">
        <v>43753</v>
      </c>
      <c r="J18" s="10"/>
      <c r="K18" s="12"/>
    </row>
    <row r="19" spans="1:11" ht="21.95" customHeight="1">
      <c r="A19" s="9">
        <v>13</v>
      </c>
      <c r="B19" s="20" t="s">
        <v>35</v>
      </c>
      <c r="C19" s="18">
        <v>43753</v>
      </c>
      <c r="D19" s="10" t="s">
        <v>98</v>
      </c>
      <c r="E19" s="10" t="s">
        <v>92</v>
      </c>
      <c r="F19" s="10" t="s">
        <v>99</v>
      </c>
      <c r="G19" s="11" t="s">
        <v>100</v>
      </c>
      <c r="H19" s="10" t="s">
        <v>97</v>
      </c>
      <c r="I19" s="18">
        <v>43753</v>
      </c>
      <c r="J19" s="10"/>
      <c r="K19" s="12"/>
    </row>
    <row r="20" spans="1:11" ht="21.95" customHeight="1">
      <c r="A20" s="9">
        <v>14</v>
      </c>
      <c r="B20" s="20" t="s">
        <v>101</v>
      </c>
      <c r="C20" s="18">
        <v>43776</v>
      </c>
      <c r="D20" s="10" t="s">
        <v>102</v>
      </c>
      <c r="E20" s="10" t="s">
        <v>103</v>
      </c>
      <c r="F20" s="10" t="s">
        <v>104</v>
      </c>
      <c r="G20" s="11" t="s">
        <v>105</v>
      </c>
      <c r="H20" s="10" t="s">
        <v>106</v>
      </c>
      <c r="I20" s="18">
        <v>43776</v>
      </c>
      <c r="J20" s="10"/>
      <c r="K20" s="12"/>
    </row>
    <row r="21" spans="1:11" ht="21.95" customHeight="1">
      <c r="A21" s="9">
        <v>15</v>
      </c>
      <c r="B21" s="20" t="s">
        <v>101</v>
      </c>
      <c r="C21" s="18">
        <v>43776</v>
      </c>
      <c r="D21" s="10" t="s">
        <v>109</v>
      </c>
      <c r="E21" s="10" t="s">
        <v>110</v>
      </c>
      <c r="F21" s="10" t="s">
        <v>111</v>
      </c>
      <c r="G21" s="11" t="s">
        <v>112</v>
      </c>
      <c r="H21" s="10" t="s">
        <v>108</v>
      </c>
      <c r="I21" s="18">
        <v>43776</v>
      </c>
      <c r="J21" s="10"/>
      <c r="K21" s="12"/>
    </row>
    <row r="22" spans="1:11" ht="21.95" customHeight="1">
      <c r="A22" s="27">
        <v>16</v>
      </c>
      <c r="B22" s="20" t="s">
        <v>101</v>
      </c>
      <c r="C22" s="32">
        <v>43781</v>
      </c>
      <c r="D22" s="29" t="s">
        <v>113</v>
      </c>
      <c r="E22" s="29" t="s">
        <v>14</v>
      </c>
      <c r="F22" s="29" t="s">
        <v>114</v>
      </c>
      <c r="G22" s="30" t="s">
        <v>115</v>
      </c>
      <c r="H22" s="29" t="s">
        <v>59</v>
      </c>
      <c r="I22" s="32">
        <v>43781</v>
      </c>
      <c r="J22" s="29"/>
      <c r="K22" s="31"/>
    </row>
    <row r="23" spans="1:11" ht="21.95" customHeight="1">
      <c r="A23" s="27">
        <v>17</v>
      </c>
      <c r="B23" s="20" t="s">
        <v>101</v>
      </c>
      <c r="C23" s="32">
        <v>43781</v>
      </c>
      <c r="D23" s="29" t="s">
        <v>113</v>
      </c>
      <c r="E23" s="29" t="s">
        <v>116</v>
      </c>
      <c r="F23" s="29" t="s">
        <v>117</v>
      </c>
      <c r="G23" s="30" t="s">
        <v>120</v>
      </c>
      <c r="H23" s="29" t="s">
        <v>25</v>
      </c>
      <c r="I23" s="32">
        <v>43781</v>
      </c>
      <c r="J23" s="29"/>
      <c r="K23" s="31"/>
    </row>
    <row r="24" spans="1:11" ht="21.95" customHeight="1">
      <c r="A24" s="27">
        <v>18</v>
      </c>
      <c r="B24" s="20" t="s">
        <v>101</v>
      </c>
      <c r="C24" s="32">
        <v>43781</v>
      </c>
      <c r="D24" s="29" t="s">
        <v>113</v>
      </c>
      <c r="E24" s="29" t="s">
        <v>118</v>
      </c>
      <c r="F24" s="29" t="s">
        <v>119</v>
      </c>
      <c r="G24" s="30" t="s">
        <v>86</v>
      </c>
      <c r="H24" s="29" t="s">
        <v>121</v>
      </c>
      <c r="I24" s="32">
        <v>43781</v>
      </c>
      <c r="J24" s="29"/>
      <c r="K24" s="31"/>
    </row>
    <row r="25" spans="1:11" ht="21.95" customHeight="1">
      <c r="A25" s="27">
        <v>19</v>
      </c>
      <c r="B25" s="28" t="s">
        <v>35</v>
      </c>
      <c r="C25" s="32">
        <v>43789</v>
      </c>
      <c r="D25" s="29" t="s">
        <v>122</v>
      </c>
      <c r="E25" s="29" t="s">
        <v>28</v>
      </c>
      <c r="F25" s="29" t="s">
        <v>123</v>
      </c>
      <c r="G25" s="30" t="s">
        <v>107</v>
      </c>
      <c r="H25" s="29" t="s">
        <v>30</v>
      </c>
      <c r="I25" s="32">
        <v>43789</v>
      </c>
      <c r="J25" s="29"/>
      <c r="K25" s="31"/>
    </row>
    <row r="26" spans="1:11" ht="21.95" customHeight="1">
      <c r="A26" s="27">
        <v>20</v>
      </c>
      <c r="B26" s="28" t="s">
        <v>35</v>
      </c>
      <c r="C26" s="32">
        <v>43789</v>
      </c>
      <c r="D26" s="29" t="s">
        <v>124</v>
      </c>
      <c r="E26" s="29" t="s">
        <v>126</v>
      </c>
      <c r="F26" s="29" t="s">
        <v>127</v>
      </c>
      <c r="G26" s="30" t="s">
        <v>31</v>
      </c>
      <c r="H26" s="29" t="s">
        <v>17</v>
      </c>
      <c r="I26" s="32">
        <v>43789</v>
      </c>
      <c r="J26" s="29"/>
      <c r="K26" s="31"/>
    </row>
    <row r="27" spans="1:11" ht="21.95" customHeight="1">
      <c r="A27" s="27">
        <v>21</v>
      </c>
      <c r="B27" s="28" t="s">
        <v>35</v>
      </c>
      <c r="C27" s="32">
        <v>43789</v>
      </c>
      <c r="D27" s="29" t="s">
        <v>125</v>
      </c>
      <c r="E27" s="29" t="s">
        <v>128</v>
      </c>
      <c r="F27" s="29" t="s">
        <v>129</v>
      </c>
      <c r="G27" s="30" t="s">
        <v>86</v>
      </c>
      <c r="H27" s="29" t="s">
        <v>25</v>
      </c>
      <c r="I27" s="32">
        <v>43789</v>
      </c>
      <c r="J27" s="29"/>
      <c r="K27" s="31"/>
    </row>
    <row r="28" spans="1:11" ht="21.95" customHeight="1">
      <c r="A28" s="27">
        <v>22</v>
      </c>
      <c r="B28" s="28" t="s">
        <v>130</v>
      </c>
      <c r="C28" s="32">
        <v>43802</v>
      </c>
      <c r="D28" s="29" t="s">
        <v>131</v>
      </c>
      <c r="E28" s="29" t="s">
        <v>132</v>
      </c>
      <c r="F28" s="29" t="s">
        <v>133</v>
      </c>
      <c r="G28" s="30" t="s">
        <v>134</v>
      </c>
      <c r="H28" s="29" t="s">
        <v>30</v>
      </c>
      <c r="I28" s="32">
        <v>43802</v>
      </c>
      <c r="J28" s="29"/>
      <c r="K28" s="31"/>
    </row>
    <row r="29" spans="1:11" ht="21.95" customHeight="1">
      <c r="A29" s="27">
        <v>23</v>
      </c>
      <c r="B29" s="28" t="s">
        <v>130</v>
      </c>
      <c r="C29" s="32">
        <v>43802</v>
      </c>
      <c r="D29" s="29" t="s">
        <v>72</v>
      </c>
      <c r="E29" s="29" t="s">
        <v>50</v>
      </c>
      <c r="F29" s="29" t="s">
        <v>135</v>
      </c>
      <c r="G29" s="30" t="s">
        <v>86</v>
      </c>
      <c r="H29" s="29" t="s">
        <v>25</v>
      </c>
      <c r="I29" s="32">
        <v>43802</v>
      </c>
      <c r="J29" s="29"/>
      <c r="K29" s="31"/>
    </row>
    <row r="30" spans="1:11" ht="21.95" customHeight="1">
      <c r="A30" s="27">
        <v>24</v>
      </c>
      <c r="B30" s="28"/>
      <c r="C30" s="29"/>
      <c r="D30" s="29"/>
      <c r="E30" s="29"/>
      <c r="F30" s="29"/>
      <c r="G30" s="30"/>
      <c r="H30" s="29"/>
      <c r="I30" s="29"/>
      <c r="J30" s="29"/>
      <c r="K30" s="31"/>
    </row>
    <row r="31" spans="1:11" ht="21.95" customHeight="1">
      <c r="A31" s="27">
        <v>25</v>
      </c>
      <c r="B31" s="28"/>
      <c r="C31" s="29"/>
      <c r="D31" s="29"/>
      <c r="E31" s="29"/>
      <c r="F31" s="29"/>
      <c r="G31" s="30"/>
      <c r="H31" s="29"/>
      <c r="I31" s="29"/>
      <c r="J31" s="29"/>
      <c r="K31" s="31"/>
    </row>
    <row r="32" spans="1:11" ht="21.95" customHeight="1">
      <c r="A32" s="27">
        <v>26</v>
      </c>
      <c r="B32" s="28"/>
      <c r="C32" s="29"/>
      <c r="D32" s="29"/>
      <c r="E32" s="29"/>
      <c r="F32" s="29"/>
      <c r="G32" s="30"/>
      <c r="H32" s="29"/>
      <c r="I32" s="29"/>
      <c r="J32" s="29"/>
      <c r="K32" s="31"/>
    </row>
    <row r="33" spans="1:11" ht="21.95" customHeight="1">
      <c r="A33" s="27">
        <v>27</v>
      </c>
      <c r="B33" s="28"/>
      <c r="C33" s="29"/>
      <c r="D33" s="29"/>
      <c r="E33" s="29"/>
      <c r="F33" s="29"/>
      <c r="G33" s="30"/>
      <c r="H33" s="29"/>
      <c r="I33" s="29"/>
      <c r="J33" s="29"/>
      <c r="K33" s="31"/>
    </row>
    <row r="34" spans="1:11" ht="21.95" customHeight="1">
      <c r="A34" s="27">
        <v>28</v>
      </c>
      <c r="B34" s="28"/>
      <c r="C34" s="29"/>
      <c r="D34" s="29"/>
      <c r="E34" s="29"/>
      <c r="F34" s="29"/>
      <c r="G34" s="30"/>
      <c r="H34" s="29"/>
      <c r="I34" s="29"/>
      <c r="J34" s="29"/>
      <c r="K34" s="31"/>
    </row>
    <row r="35" spans="1:11" ht="21.95" customHeight="1">
      <c r="A35" s="27">
        <v>29</v>
      </c>
      <c r="B35" s="28"/>
      <c r="C35" s="29"/>
      <c r="D35" s="29"/>
      <c r="E35" s="29"/>
      <c r="F35" s="29"/>
      <c r="G35" s="30"/>
      <c r="H35" s="29"/>
      <c r="I35" s="29"/>
      <c r="J35" s="29"/>
      <c r="K35" s="31"/>
    </row>
    <row r="36" spans="1:11" ht="21.95" customHeight="1">
      <c r="A36" s="27">
        <v>30</v>
      </c>
      <c r="B36" s="28"/>
      <c r="C36" s="29"/>
      <c r="D36" s="29"/>
      <c r="E36" s="29"/>
      <c r="F36" s="29"/>
      <c r="G36" s="30"/>
      <c r="H36" s="29"/>
      <c r="I36" s="29"/>
      <c r="J36" s="29"/>
      <c r="K36" s="31"/>
    </row>
  </sheetData>
  <mergeCells count="11">
    <mergeCell ref="J5:K5"/>
    <mergeCell ref="A3:K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300" verticalDpi="300" r:id="rId1"/>
  <headerFooter>
    <oddFooter>&amp;L서식 경영지원 2018-100-009 REV.1&amp;C미성엠프로(주)&amp;RA4(210×297mm)</oddFooter>
  </headerFooter>
  <rowBreaks count="1" manualBreakCount="1">
    <brk id="21" max="10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30"/>
  <sheetViews>
    <sheetView showWhiteSpace="0" zoomScaleNormal="100" workbookViewId="0">
      <selection activeCell="G37" sqref="G37"/>
    </sheetView>
  </sheetViews>
  <sheetFormatPr defaultRowHeight="16.5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>
      <c r="A2" s="1" t="s">
        <v>0</v>
      </c>
      <c r="B2" s="1"/>
    </row>
    <row r="3" spans="1:11" ht="26.25">
      <c r="A3" s="156" t="s">
        <v>1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</row>
    <row r="4" spans="1:11" ht="17.25" thickBot="1">
      <c r="A4" s="22" t="s">
        <v>136</v>
      </c>
      <c r="B4" s="2"/>
    </row>
    <row r="5" spans="1:11" ht="21.95" customHeight="1" thickTop="1">
      <c r="A5" s="157" t="s">
        <v>2</v>
      </c>
      <c r="B5" s="152" t="s">
        <v>33</v>
      </c>
      <c r="C5" s="152" t="s">
        <v>3</v>
      </c>
      <c r="D5" s="152" t="s">
        <v>4</v>
      </c>
      <c r="E5" s="152" t="s">
        <v>5</v>
      </c>
      <c r="F5" s="152" t="s">
        <v>6</v>
      </c>
      <c r="G5" s="152" t="s">
        <v>7</v>
      </c>
      <c r="H5" s="152" t="s">
        <v>8</v>
      </c>
      <c r="I5" s="152" t="s">
        <v>9</v>
      </c>
      <c r="J5" s="154" t="s">
        <v>10</v>
      </c>
      <c r="K5" s="155"/>
    </row>
    <row r="6" spans="1:11" ht="21.95" customHeight="1" thickBot="1">
      <c r="A6" s="158"/>
      <c r="B6" s="153"/>
      <c r="C6" s="153"/>
      <c r="D6" s="153"/>
      <c r="E6" s="153"/>
      <c r="F6" s="153"/>
      <c r="G6" s="153"/>
      <c r="H6" s="153"/>
      <c r="I6" s="153"/>
      <c r="J6" s="3" t="s">
        <v>11</v>
      </c>
      <c r="K6" s="4" t="s">
        <v>12</v>
      </c>
    </row>
    <row r="7" spans="1:11" ht="21.95" customHeight="1" thickTop="1">
      <c r="A7" s="5">
        <v>1</v>
      </c>
      <c r="B7" s="20" t="s">
        <v>34</v>
      </c>
      <c r="C7" s="25">
        <v>43859</v>
      </c>
      <c r="D7" s="26" t="s">
        <v>137</v>
      </c>
      <c r="E7" s="26" t="s">
        <v>37</v>
      </c>
      <c r="F7" s="26" t="s">
        <v>138</v>
      </c>
      <c r="G7" s="36" t="s">
        <v>139</v>
      </c>
      <c r="H7" s="26" t="s">
        <v>17</v>
      </c>
      <c r="I7" s="25">
        <v>43859</v>
      </c>
      <c r="J7" s="6"/>
      <c r="K7" s="8"/>
    </row>
    <row r="8" spans="1:11" ht="21.95" customHeight="1">
      <c r="A8" s="9">
        <v>2</v>
      </c>
      <c r="B8" s="20" t="s">
        <v>34</v>
      </c>
      <c r="C8" s="33">
        <v>43859</v>
      </c>
      <c r="D8" s="34" t="s">
        <v>140</v>
      </c>
      <c r="E8" s="24" t="s">
        <v>141</v>
      </c>
      <c r="F8" s="24" t="s">
        <v>142</v>
      </c>
      <c r="G8" s="35" t="s">
        <v>86</v>
      </c>
      <c r="H8" s="24" t="s">
        <v>25</v>
      </c>
      <c r="I8" s="23">
        <v>43859</v>
      </c>
      <c r="J8" s="10"/>
      <c r="K8" s="12"/>
    </row>
    <row r="9" spans="1:11" ht="21.95" customHeight="1">
      <c r="A9" s="9">
        <v>3</v>
      </c>
      <c r="B9" s="20" t="s">
        <v>143</v>
      </c>
      <c r="C9" s="18">
        <v>43908</v>
      </c>
      <c r="D9" s="10" t="s">
        <v>144</v>
      </c>
      <c r="E9" s="10" t="s">
        <v>145</v>
      </c>
      <c r="F9" s="10" t="s">
        <v>146</v>
      </c>
      <c r="G9" s="11" t="s">
        <v>147</v>
      </c>
      <c r="H9" s="10" t="s">
        <v>148</v>
      </c>
      <c r="I9" s="18">
        <v>43908</v>
      </c>
      <c r="J9" s="10"/>
      <c r="K9" s="12"/>
    </row>
    <row r="10" spans="1:11" ht="21.95" customHeight="1">
      <c r="A10" s="9">
        <v>4</v>
      </c>
      <c r="B10" s="20" t="s">
        <v>143</v>
      </c>
      <c r="C10" s="18">
        <v>43908</v>
      </c>
      <c r="D10" s="10" t="s">
        <v>140</v>
      </c>
      <c r="E10" s="10" t="s">
        <v>149</v>
      </c>
      <c r="F10" s="10" t="s">
        <v>150</v>
      </c>
      <c r="G10" s="30" t="s">
        <v>86</v>
      </c>
      <c r="H10" s="10" t="s">
        <v>151</v>
      </c>
      <c r="I10" s="18">
        <v>43908</v>
      </c>
      <c r="J10" s="10"/>
      <c r="K10" s="12"/>
    </row>
    <row r="11" spans="1:11" ht="21.95" customHeight="1">
      <c r="A11" s="9">
        <v>5</v>
      </c>
      <c r="B11" s="20" t="s">
        <v>143</v>
      </c>
      <c r="C11" s="18">
        <v>43942</v>
      </c>
      <c r="D11" s="10" t="s">
        <v>144</v>
      </c>
      <c r="E11" s="10" t="s">
        <v>152</v>
      </c>
      <c r="F11" s="10" t="s">
        <v>153</v>
      </c>
      <c r="G11" s="37" t="s">
        <v>156</v>
      </c>
      <c r="H11" s="10" t="s">
        <v>151</v>
      </c>
      <c r="I11" s="18">
        <v>43942</v>
      </c>
      <c r="J11" s="10"/>
      <c r="K11" s="12"/>
    </row>
    <row r="12" spans="1:11" ht="21.95" customHeight="1">
      <c r="A12" s="9">
        <v>6</v>
      </c>
      <c r="B12" s="20" t="s">
        <v>143</v>
      </c>
      <c r="C12" s="18">
        <v>43942</v>
      </c>
      <c r="D12" s="10" t="s">
        <v>144</v>
      </c>
      <c r="E12" s="10" t="s">
        <v>154</v>
      </c>
      <c r="F12" s="10" t="s">
        <v>155</v>
      </c>
      <c r="G12" s="11" t="s">
        <v>105</v>
      </c>
      <c r="H12" s="10" t="s">
        <v>151</v>
      </c>
      <c r="I12" s="18">
        <v>43942</v>
      </c>
      <c r="J12" s="10"/>
      <c r="K12" s="12"/>
    </row>
    <row r="13" spans="1:11" ht="21.95" customHeight="1">
      <c r="A13" s="9">
        <v>7</v>
      </c>
      <c r="B13" s="20" t="s">
        <v>143</v>
      </c>
      <c r="C13" s="18">
        <v>43942</v>
      </c>
      <c r="D13" s="10" t="s">
        <v>140</v>
      </c>
      <c r="E13" s="10" t="s">
        <v>149</v>
      </c>
      <c r="F13" s="10" t="s">
        <v>150</v>
      </c>
      <c r="G13" s="11" t="s">
        <v>86</v>
      </c>
      <c r="H13" s="10" t="s">
        <v>148</v>
      </c>
      <c r="I13" s="18">
        <v>43942</v>
      </c>
      <c r="J13" s="10"/>
      <c r="K13" s="12"/>
    </row>
    <row r="14" spans="1:11" ht="21.95" customHeight="1">
      <c r="A14" s="9">
        <v>8</v>
      </c>
      <c r="B14" s="20" t="s">
        <v>143</v>
      </c>
      <c r="C14" s="18">
        <v>43942</v>
      </c>
      <c r="D14" s="10" t="s">
        <v>140</v>
      </c>
      <c r="E14" s="10" t="s">
        <v>149</v>
      </c>
      <c r="F14" s="10" t="s">
        <v>150</v>
      </c>
      <c r="G14" s="11" t="s">
        <v>86</v>
      </c>
      <c r="H14" s="10" t="s">
        <v>148</v>
      </c>
      <c r="I14" s="18">
        <v>43942</v>
      </c>
      <c r="J14" s="10"/>
      <c r="K14" s="12"/>
    </row>
    <row r="15" spans="1:11" ht="21.95" customHeight="1">
      <c r="A15" s="9">
        <v>9</v>
      </c>
      <c r="B15" s="20" t="s">
        <v>143</v>
      </c>
      <c r="C15" s="18">
        <v>43958</v>
      </c>
      <c r="D15" s="10" t="s">
        <v>157</v>
      </c>
      <c r="E15" s="10" t="s">
        <v>158</v>
      </c>
      <c r="F15" s="10" t="s">
        <v>159</v>
      </c>
      <c r="G15" s="11" t="s">
        <v>160</v>
      </c>
      <c r="H15" s="10" t="s">
        <v>25</v>
      </c>
      <c r="I15" s="18">
        <v>43958</v>
      </c>
      <c r="J15" s="10"/>
      <c r="K15" s="12"/>
    </row>
    <row r="16" spans="1:11" ht="21.95" customHeight="1">
      <c r="A16" s="9">
        <v>10</v>
      </c>
      <c r="B16" s="20" t="s">
        <v>143</v>
      </c>
      <c r="C16" s="18">
        <v>44000</v>
      </c>
      <c r="D16" s="10" t="s">
        <v>161</v>
      </c>
      <c r="E16" s="10" t="s">
        <v>28</v>
      </c>
      <c r="F16" s="10" t="s">
        <v>162</v>
      </c>
      <c r="G16" s="11" t="s">
        <v>167</v>
      </c>
      <c r="H16" s="10" t="s">
        <v>25</v>
      </c>
      <c r="I16" s="18">
        <v>44000</v>
      </c>
      <c r="J16" s="10"/>
      <c r="K16" s="12"/>
    </row>
    <row r="17" spans="1:11" ht="21.95" customHeight="1">
      <c r="A17" s="9">
        <v>11</v>
      </c>
      <c r="B17" s="20" t="s">
        <v>143</v>
      </c>
      <c r="C17" s="18">
        <v>44000</v>
      </c>
      <c r="D17" s="10" t="s">
        <v>161</v>
      </c>
      <c r="E17" s="10" t="s">
        <v>165</v>
      </c>
      <c r="F17" s="10" t="s">
        <v>163</v>
      </c>
      <c r="G17" s="11" t="s">
        <v>182</v>
      </c>
      <c r="H17" s="10" t="s">
        <v>25</v>
      </c>
      <c r="I17" s="18">
        <v>44000</v>
      </c>
      <c r="J17" s="10"/>
      <c r="K17" s="12"/>
    </row>
    <row r="18" spans="1:11" ht="21.95" customHeight="1">
      <c r="A18" s="9">
        <v>12</v>
      </c>
      <c r="B18" s="20" t="s">
        <v>143</v>
      </c>
      <c r="C18" s="18">
        <v>44000</v>
      </c>
      <c r="D18" s="10" t="s">
        <v>161</v>
      </c>
      <c r="E18" s="10" t="s">
        <v>166</v>
      </c>
      <c r="F18" s="10" t="s">
        <v>164</v>
      </c>
      <c r="G18" s="11" t="s">
        <v>183</v>
      </c>
      <c r="H18" s="10" t="s">
        <v>25</v>
      </c>
      <c r="I18" s="18">
        <v>44000</v>
      </c>
      <c r="J18" s="10"/>
      <c r="K18" s="12"/>
    </row>
    <row r="19" spans="1:11" ht="21.95" customHeight="1">
      <c r="A19" s="9">
        <v>13</v>
      </c>
      <c r="B19" s="20" t="s">
        <v>35</v>
      </c>
      <c r="C19" s="18">
        <v>44040</v>
      </c>
      <c r="D19" s="10" t="s">
        <v>168</v>
      </c>
      <c r="E19" s="10" t="s">
        <v>28</v>
      </c>
      <c r="F19" s="10" t="s">
        <v>169</v>
      </c>
      <c r="G19" s="11" t="s">
        <v>174</v>
      </c>
      <c r="H19" s="10" t="s">
        <v>25</v>
      </c>
      <c r="I19" s="18">
        <v>44040</v>
      </c>
      <c r="J19" s="10"/>
      <c r="K19" s="12"/>
    </row>
    <row r="20" spans="1:11" ht="21.95" customHeight="1">
      <c r="A20" s="9">
        <v>14</v>
      </c>
      <c r="B20" s="20" t="s">
        <v>35</v>
      </c>
      <c r="C20" s="18">
        <v>44040</v>
      </c>
      <c r="D20" s="10" t="s">
        <v>168</v>
      </c>
      <c r="E20" s="10" t="s">
        <v>154</v>
      </c>
      <c r="F20" s="10" t="s">
        <v>170</v>
      </c>
      <c r="G20" s="11" t="s">
        <v>175</v>
      </c>
      <c r="H20" s="10" t="s">
        <v>177</v>
      </c>
      <c r="I20" s="18">
        <v>44040</v>
      </c>
      <c r="J20" s="10"/>
      <c r="K20" s="12"/>
    </row>
    <row r="21" spans="1:11" ht="21.95" customHeight="1">
      <c r="A21" s="9">
        <v>15</v>
      </c>
      <c r="B21" s="20" t="s">
        <v>35</v>
      </c>
      <c r="C21" s="18">
        <v>44040</v>
      </c>
      <c r="D21" s="10" t="s">
        <v>168</v>
      </c>
      <c r="E21" s="10" t="s">
        <v>166</v>
      </c>
      <c r="F21" s="10" t="s">
        <v>171</v>
      </c>
      <c r="G21" s="11" t="s">
        <v>176</v>
      </c>
      <c r="H21" s="10" t="s">
        <v>177</v>
      </c>
      <c r="I21" s="18">
        <v>44040</v>
      </c>
      <c r="J21" s="10"/>
      <c r="K21" s="12"/>
    </row>
    <row r="22" spans="1:11" ht="21.95" customHeight="1">
      <c r="A22" s="27">
        <v>16</v>
      </c>
      <c r="B22" s="20" t="s">
        <v>35</v>
      </c>
      <c r="C22" s="18">
        <v>44040</v>
      </c>
      <c r="D22" s="10" t="s">
        <v>172</v>
      </c>
      <c r="E22" s="29" t="s">
        <v>50</v>
      </c>
      <c r="F22" s="29" t="s">
        <v>173</v>
      </c>
      <c r="G22" s="30" t="s">
        <v>86</v>
      </c>
      <c r="H22" s="29" t="s">
        <v>25</v>
      </c>
      <c r="I22" s="18">
        <v>44040</v>
      </c>
      <c r="J22" s="29"/>
      <c r="K22" s="31"/>
    </row>
    <row r="23" spans="1:11" ht="21.95" customHeight="1">
      <c r="A23" s="27">
        <v>17</v>
      </c>
      <c r="B23" s="20" t="s">
        <v>34</v>
      </c>
      <c r="C23" s="32">
        <v>44123</v>
      </c>
      <c r="D23" s="29" t="s">
        <v>178</v>
      </c>
      <c r="E23" s="29" t="s">
        <v>179</v>
      </c>
      <c r="F23" s="29" t="s">
        <v>180</v>
      </c>
      <c r="G23" s="30" t="s">
        <v>181</v>
      </c>
      <c r="H23" s="29" t="s">
        <v>184</v>
      </c>
      <c r="I23" s="32">
        <v>44123</v>
      </c>
      <c r="J23" s="29"/>
      <c r="K23" s="31"/>
    </row>
    <row r="24" spans="1:11" ht="21.95" customHeight="1">
      <c r="A24" s="27">
        <v>18</v>
      </c>
      <c r="B24" s="20" t="s">
        <v>185</v>
      </c>
      <c r="C24" s="32">
        <v>44139</v>
      </c>
      <c r="D24" s="29" t="s">
        <v>186</v>
      </c>
      <c r="E24" s="29" t="s">
        <v>28</v>
      </c>
      <c r="F24" s="29" t="s">
        <v>187</v>
      </c>
      <c r="G24" s="30" t="s">
        <v>188</v>
      </c>
      <c r="H24" s="29" t="s">
        <v>189</v>
      </c>
      <c r="I24" s="32">
        <v>44139</v>
      </c>
      <c r="J24" s="29"/>
      <c r="K24" s="31"/>
    </row>
    <row r="25" spans="1:11" ht="21.95" customHeight="1">
      <c r="A25" s="27">
        <v>19</v>
      </c>
      <c r="B25" s="20" t="s">
        <v>185</v>
      </c>
      <c r="C25" s="32">
        <v>44172</v>
      </c>
      <c r="D25" s="29" t="s">
        <v>190</v>
      </c>
      <c r="E25" s="29" t="s">
        <v>191</v>
      </c>
      <c r="F25" s="29" t="s">
        <v>129</v>
      </c>
      <c r="G25" s="30" t="s">
        <v>196</v>
      </c>
      <c r="H25" s="29" t="s">
        <v>197</v>
      </c>
      <c r="I25" s="32">
        <v>44172</v>
      </c>
      <c r="J25" s="29"/>
      <c r="K25" s="31"/>
    </row>
    <row r="26" spans="1:11" ht="21.95" customHeight="1">
      <c r="A26" s="27">
        <v>20</v>
      </c>
      <c r="B26" s="20" t="s">
        <v>185</v>
      </c>
      <c r="C26" s="32">
        <v>44172</v>
      </c>
      <c r="D26" s="29" t="s">
        <v>190</v>
      </c>
      <c r="E26" s="29" t="s">
        <v>192</v>
      </c>
      <c r="F26" s="29" t="s">
        <v>193</v>
      </c>
      <c r="G26" s="30" t="s">
        <v>196</v>
      </c>
      <c r="H26" s="29" t="s">
        <v>198</v>
      </c>
      <c r="I26" s="32">
        <v>44172</v>
      </c>
      <c r="J26" s="29"/>
      <c r="K26" s="31"/>
    </row>
    <row r="27" spans="1:11" ht="21.95" customHeight="1">
      <c r="A27" s="27">
        <v>21</v>
      </c>
      <c r="B27" s="20" t="s">
        <v>185</v>
      </c>
      <c r="C27" s="32">
        <v>44172</v>
      </c>
      <c r="D27" s="29" t="s">
        <v>190</v>
      </c>
      <c r="E27" s="29" t="s">
        <v>194</v>
      </c>
      <c r="F27" s="29" t="s">
        <v>195</v>
      </c>
      <c r="G27" s="30" t="s">
        <v>196</v>
      </c>
      <c r="H27" s="29" t="s">
        <v>199</v>
      </c>
      <c r="I27" s="32">
        <v>44172</v>
      </c>
      <c r="J27" s="29"/>
      <c r="K27" s="31"/>
    </row>
    <row r="28" spans="1:11" ht="21.95" customHeight="1">
      <c r="A28" s="27">
        <v>22</v>
      </c>
      <c r="B28" s="28" t="s">
        <v>34</v>
      </c>
      <c r="C28" s="32">
        <v>44189</v>
      </c>
      <c r="D28" s="29" t="s">
        <v>205</v>
      </c>
      <c r="E28" s="29" t="s">
        <v>206</v>
      </c>
      <c r="F28" s="29" t="s">
        <v>207</v>
      </c>
      <c r="G28" s="30" t="s">
        <v>208</v>
      </c>
      <c r="H28" s="29" t="s">
        <v>209</v>
      </c>
      <c r="I28" s="32">
        <v>44189</v>
      </c>
      <c r="J28" s="29"/>
      <c r="K28" s="31"/>
    </row>
    <row r="29" spans="1:11" ht="21.95" customHeight="1" thickBot="1">
      <c r="A29" s="138">
        <v>23</v>
      </c>
      <c r="B29" s="139" t="s">
        <v>35</v>
      </c>
      <c r="C29" s="140">
        <v>44196</v>
      </c>
      <c r="D29" s="141" t="s">
        <v>178</v>
      </c>
      <c r="E29" s="141" t="s">
        <v>14</v>
      </c>
      <c r="F29" s="141" t="s">
        <v>200</v>
      </c>
      <c r="G29" s="142" t="s">
        <v>201</v>
      </c>
      <c r="H29" s="141" t="s">
        <v>30</v>
      </c>
      <c r="I29" s="140">
        <v>44196</v>
      </c>
      <c r="J29" s="141"/>
      <c r="K29" s="143"/>
    </row>
    <row r="30" spans="1:11" ht="17.25" thickTop="1"/>
  </sheetData>
  <mergeCells count="11">
    <mergeCell ref="J5:K5"/>
    <mergeCell ref="A3:K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300" verticalDpi="300" r:id="rId1"/>
  <headerFooter>
    <oddFooter>&amp;L서식 경영지원 2018-100-009 REV.1&amp;C미성엠프로(주)&amp;RA4(210×297mm)</oddFooter>
  </headerFooter>
  <rowBreaks count="1" manualBreakCount="1">
    <brk id="21" max="10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K36"/>
  <sheetViews>
    <sheetView showWhiteSpace="0" zoomScaleNormal="100" workbookViewId="0">
      <selection activeCell="B15" sqref="B15"/>
    </sheetView>
  </sheetViews>
  <sheetFormatPr defaultRowHeight="16.5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>
      <c r="A2" s="1" t="s">
        <v>0</v>
      </c>
      <c r="B2" s="1"/>
    </row>
    <row r="3" spans="1:11" ht="26.25">
      <c r="A3" s="156" t="s">
        <v>1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</row>
    <row r="4" spans="1:11" ht="17.25" thickBot="1">
      <c r="A4" s="22" t="s">
        <v>213</v>
      </c>
      <c r="B4" s="2"/>
    </row>
    <row r="5" spans="1:11" ht="21.95" customHeight="1" thickTop="1">
      <c r="A5" s="157" t="s">
        <v>2</v>
      </c>
      <c r="B5" s="152" t="s">
        <v>33</v>
      </c>
      <c r="C5" s="152" t="s">
        <v>3</v>
      </c>
      <c r="D5" s="152" t="s">
        <v>4</v>
      </c>
      <c r="E5" s="152" t="s">
        <v>5</v>
      </c>
      <c r="F5" s="152" t="s">
        <v>6</v>
      </c>
      <c r="G5" s="152" t="s">
        <v>7</v>
      </c>
      <c r="H5" s="152" t="s">
        <v>8</v>
      </c>
      <c r="I5" s="152" t="s">
        <v>9</v>
      </c>
      <c r="J5" s="154" t="s">
        <v>10</v>
      </c>
      <c r="K5" s="155"/>
    </row>
    <row r="6" spans="1:11" ht="21.95" customHeight="1" thickBot="1">
      <c r="A6" s="158"/>
      <c r="B6" s="153"/>
      <c r="C6" s="153"/>
      <c r="D6" s="153"/>
      <c r="E6" s="153"/>
      <c r="F6" s="153"/>
      <c r="G6" s="153"/>
      <c r="H6" s="153"/>
      <c r="I6" s="153"/>
      <c r="J6" s="3" t="s">
        <v>11</v>
      </c>
      <c r="K6" s="4" t="s">
        <v>12</v>
      </c>
    </row>
    <row r="7" spans="1:11" ht="24.95" customHeight="1" thickTop="1">
      <c r="A7" s="5">
        <v>1</v>
      </c>
      <c r="B7" s="20" t="s">
        <v>34</v>
      </c>
      <c r="C7" s="25">
        <v>44251</v>
      </c>
      <c r="D7" s="26" t="s">
        <v>214</v>
      </c>
      <c r="E7" s="26" t="s">
        <v>14</v>
      </c>
      <c r="F7" s="26" t="s">
        <v>215</v>
      </c>
      <c r="G7" s="36" t="s">
        <v>216</v>
      </c>
      <c r="H7" s="26" t="s">
        <v>217</v>
      </c>
      <c r="I7" s="25">
        <v>44252</v>
      </c>
      <c r="J7" s="6"/>
      <c r="K7" s="8"/>
    </row>
    <row r="8" spans="1:11" ht="24.95" customHeight="1">
      <c r="A8" s="9">
        <v>2</v>
      </c>
      <c r="B8" s="20" t="s">
        <v>71</v>
      </c>
      <c r="C8" s="33">
        <v>44285</v>
      </c>
      <c r="D8" s="34" t="s">
        <v>26</v>
      </c>
      <c r="E8" s="24" t="s">
        <v>218</v>
      </c>
      <c r="F8" s="24" t="s">
        <v>219</v>
      </c>
      <c r="G8" s="35" t="s">
        <v>220</v>
      </c>
      <c r="H8" s="55" t="s">
        <v>221</v>
      </c>
      <c r="I8" s="23">
        <v>44285</v>
      </c>
      <c r="J8" s="10"/>
      <c r="K8" s="12"/>
    </row>
    <row r="9" spans="1:11" ht="24.95" customHeight="1">
      <c r="A9" s="9">
        <v>3</v>
      </c>
      <c r="B9" s="20" t="s">
        <v>71</v>
      </c>
      <c r="C9" s="18"/>
      <c r="D9" s="10" t="s">
        <v>222</v>
      </c>
      <c r="E9" s="10" t="s">
        <v>223</v>
      </c>
      <c r="F9" s="10" t="s">
        <v>224</v>
      </c>
      <c r="G9" s="11" t="s">
        <v>225</v>
      </c>
      <c r="H9" s="24" t="s">
        <v>221</v>
      </c>
      <c r="I9" s="18">
        <v>44285</v>
      </c>
      <c r="J9" s="10"/>
      <c r="K9" s="12"/>
    </row>
    <row r="10" spans="1:11" ht="24.95" customHeight="1">
      <c r="A10" s="9">
        <v>4</v>
      </c>
      <c r="B10" s="20" t="s">
        <v>71</v>
      </c>
      <c r="C10" s="18">
        <v>44292</v>
      </c>
      <c r="D10" s="10" t="s">
        <v>227</v>
      </c>
      <c r="E10" s="10" t="s">
        <v>228</v>
      </c>
      <c r="F10" s="10" t="s">
        <v>229</v>
      </c>
      <c r="G10" s="30" t="s">
        <v>230</v>
      </c>
      <c r="H10" s="10" t="s">
        <v>231</v>
      </c>
      <c r="I10" s="18">
        <v>44292</v>
      </c>
      <c r="J10" s="10"/>
      <c r="K10" s="12"/>
    </row>
    <row r="11" spans="1:11" ht="24.95" customHeight="1">
      <c r="A11" s="9">
        <v>5</v>
      </c>
      <c r="B11" s="20" t="s">
        <v>71</v>
      </c>
      <c r="C11" s="18"/>
      <c r="D11" s="10" t="s">
        <v>109</v>
      </c>
      <c r="E11" s="10" t="s">
        <v>232</v>
      </c>
      <c r="F11" s="10" t="s">
        <v>193</v>
      </c>
      <c r="G11" s="37" t="s">
        <v>233</v>
      </c>
      <c r="H11" s="10" t="s">
        <v>108</v>
      </c>
      <c r="I11" s="18">
        <v>44292</v>
      </c>
      <c r="J11" s="10"/>
      <c r="K11" s="12"/>
    </row>
    <row r="12" spans="1:11" ht="24.95" customHeight="1">
      <c r="A12" s="9">
        <v>6</v>
      </c>
      <c r="B12" s="20" t="s">
        <v>101</v>
      </c>
      <c r="C12" s="18">
        <v>44364</v>
      </c>
      <c r="D12" s="10" t="s">
        <v>236</v>
      </c>
      <c r="E12" s="10" t="s">
        <v>234</v>
      </c>
      <c r="F12" s="10" t="s">
        <v>235</v>
      </c>
      <c r="G12" s="11" t="s">
        <v>237</v>
      </c>
      <c r="H12" s="10" t="s">
        <v>238</v>
      </c>
      <c r="I12" s="18">
        <v>44370</v>
      </c>
      <c r="J12" s="10"/>
      <c r="K12" s="12"/>
    </row>
    <row r="13" spans="1:11" ht="24.95" customHeight="1">
      <c r="A13" s="9">
        <v>7</v>
      </c>
      <c r="B13" s="20" t="s">
        <v>101</v>
      </c>
      <c r="C13" s="18"/>
      <c r="D13" s="10" t="s">
        <v>236</v>
      </c>
      <c r="E13" s="10" t="s">
        <v>239</v>
      </c>
      <c r="F13" s="10" t="s">
        <v>240</v>
      </c>
      <c r="G13" s="11" t="s">
        <v>241</v>
      </c>
      <c r="H13" s="10" t="s">
        <v>108</v>
      </c>
      <c r="I13" s="18">
        <v>44370</v>
      </c>
      <c r="J13" s="10"/>
      <c r="K13" s="12"/>
    </row>
    <row r="14" spans="1:11" ht="24.95" customHeight="1">
      <c r="A14" s="9">
        <v>8</v>
      </c>
      <c r="B14" s="20" t="s">
        <v>71</v>
      </c>
      <c r="C14" s="18">
        <v>44389</v>
      </c>
      <c r="D14" s="10" t="s">
        <v>243</v>
      </c>
      <c r="E14" s="10" t="s">
        <v>14</v>
      </c>
      <c r="F14" s="10" t="s">
        <v>244</v>
      </c>
      <c r="G14" s="11" t="s">
        <v>246</v>
      </c>
      <c r="H14" s="10" t="s">
        <v>226</v>
      </c>
      <c r="I14" s="18">
        <v>44389</v>
      </c>
      <c r="J14" s="10"/>
      <c r="K14" s="12"/>
    </row>
    <row r="15" spans="1:11" ht="24.95" customHeight="1">
      <c r="A15" s="9">
        <v>9</v>
      </c>
      <c r="B15" s="20" t="s">
        <v>242</v>
      </c>
      <c r="C15" s="18"/>
      <c r="D15" s="10"/>
      <c r="E15" s="10" t="s">
        <v>14</v>
      </c>
      <c r="F15" s="10" t="s">
        <v>245</v>
      </c>
      <c r="G15" s="11" t="s">
        <v>247</v>
      </c>
      <c r="H15" s="10" t="s">
        <v>248</v>
      </c>
      <c r="I15" s="18">
        <v>44389</v>
      </c>
      <c r="J15" s="10"/>
      <c r="K15" s="12"/>
    </row>
    <row r="16" spans="1:11" ht="24.95" customHeight="1">
      <c r="A16" s="9">
        <v>10</v>
      </c>
      <c r="B16" s="20" t="s">
        <v>101</v>
      </c>
      <c r="C16" s="18">
        <v>44438</v>
      </c>
      <c r="D16" s="10" t="s">
        <v>249</v>
      </c>
      <c r="E16" s="10" t="s">
        <v>250</v>
      </c>
      <c r="F16" s="10" t="s">
        <v>251</v>
      </c>
      <c r="G16" s="11" t="s">
        <v>252</v>
      </c>
      <c r="H16" s="10" t="s">
        <v>253</v>
      </c>
      <c r="I16" s="18">
        <v>44445</v>
      </c>
      <c r="J16" s="10"/>
      <c r="K16" s="12"/>
    </row>
    <row r="17" spans="1:11" ht="24.95" customHeight="1">
      <c r="A17" s="9">
        <v>11</v>
      </c>
      <c r="B17" s="20" t="s">
        <v>101</v>
      </c>
      <c r="C17" s="18">
        <v>44455</v>
      </c>
      <c r="D17" s="10" t="s">
        <v>257</v>
      </c>
      <c r="E17" s="10" t="s">
        <v>254</v>
      </c>
      <c r="F17" s="10" t="s">
        <v>255</v>
      </c>
      <c r="G17" s="11" t="s">
        <v>259</v>
      </c>
      <c r="H17" s="10" t="s">
        <v>262</v>
      </c>
      <c r="I17" s="18">
        <v>44463</v>
      </c>
      <c r="J17" s="10"/>
      <c r="K17" s="12"/>
    </row>
    <row r="18" spans="1:11" ht="24.95" customHeight="1">
      <c r="A18" s="9">
        <v>12</v>
      </c>
      <c r="B18" s="20" t="s">
        <v>101</v>
      </c>
      <c r="C18" s="18"/>
      <c r="D18" s="10" t="s">
        <v>265</v>
      </c>
      <c r="E18" s="10" t="s">
        <v>132</v>
      </c>
      <c r="F18" s="10" t="s">
        <v>83</v>
      </c>
      <c r="G18" s="11" t="s">
        <v>260</v>
      </c>
      <c r="H18" s="10" t="s">
        <v>262</v>
      </c>
      <c r="I18" s="18">
        <v>44463</v>
      </c>
      <c r="J18" s="10"/>
      <c r="K18" s="12"/>
    </row>
    <row r="19" spans="1:11" ht="24.95" customHeight="1">
      <c r="A19" s="9">
        <v>13</v>
      </c>
      <c r="B19" s="20" t="s">
        <v>101</v>
      </c>
      <c r="C19" s="18"/>
      <c r="D19" s="10" t="s">
        <v>258</v>
      </c>
      <c r="E19" s="10" t="s">
        <v>132</v>
      </c>
      <c r="F19" s="10" t="s">
        <v>256</v>
      </c>
      <c r="G19" s="11" t="s">
        <v>261</v>
      </c>
      <c r="H19" s="10" t="s">
        <v>263</v>
      </c>
      <c r="I19" s="18">
        <v>44463</v>
      </c>
      <c r="J19" s="10"/>
      <c r="K19" s="12"/>
    </row>
    <row r="20" spans="1:11" ht="24.95" customHeight="1">
      <c r="A20" s="9">
        <v>14</v>
      </c>
      <c r="B20" s="20" t="s">
        <v>101</v>
      </c>
      <c r="C20" s="18">
        <v>44497</v>
      </c>
      <c r="D20" s="10" t="s">
        <v>264</v>
      </c>
      <c r="E20" s="10" t="s">
        <v>14</v>
      </c>
      <c r="F20" s="10" t="s">
        <v>267</v>
      </c>
      <c r="G20" s="11" t="s">
        <v>269</v>
      </c>
      <c r="H20" s="10" t="s">
        <v>270</v>
      </c>
      <c r="I20" s="18">
        <v>44502</v>
      </c>
      <c r="J20" s="10"/>
      <c r="K20" s="12"/>
    </row>
    <row r="21" spans="1:11" ht="24.95" customHeight="1">
      <c r="A21" s="9">
        <v>15</v>
      </c>
      <c r="B21" s="20" t="s">
        <v>101</v>
      </c>
      <c r="C21" s="18"/>
      <c r="D21" s="10" t="s">
        <v>264</v>
      </c>
      <c r="E21" s="10" t="s">
        <v>266</v>
      </c>
      <c r="F21" s="10" t="s">
        <v>268</v>
      </c>
      <c r="G21" s="11" t="s">
        <v>269</v>
      </c>
      <c r="H21" s="10" t="s">
        <v>270</v>
      </c>
      <c r="I21" s="18">
        <v>44502</v>
      </c>
      <c r="J21" s="10"/>
      <c r="K21" s="12"/>
    </row>
    <row r="22" spans="1:11" ht="24.95" customHeight="1">
      <c r="A22" s="27">
        <v>16</v>
      </c>
      <c r="B22" s="20" t="s">
        <v>35</v>
      </c>
      <c r="C22" s="18">
        <v>44502</v>
      </c>
      <c r="D22" s="10" t="s">
        <v>280</v>
      </c>
      <c r="E22" s="29" t="s">
        <v>273</v>
      </c>
      <c r="F22" s="29" t="s">
        <v>284</v>
      </c>
      <c r="G22" s="30" t="s">
        <v>287</v>
      </c>
      <c r="H22" s="29" t="s">
        <v>289</v>
      </c>
      <c r="I22" s="18">
        <v>44502</v>
      </c>
      <c r="J22" s="29"/>
      <c r="K22" s="31"/>
    </row>
    <row r="23" spans="1:11" ht="24.95" customHeight="1">
      <c r="A23" s="27">
        <v>17</v>
      </c>
      <c r="B23" s="20" t="s">
        <v>279</v>
      </c>
      <c r="C23" s="32"/>
      <c r="D23" s="10" t="s">
        <v>280</v>
      </c>
      <c r="E23" s="29" t="s">
        <v>282</v>
      </c>
      <c r="F23" s="29" t="s">
        <v>285</v>
      </c>
      <c r="G23" s="30" t="s">
        <v>287</v>
      </c>
      <c r="H23" s="29" t="s">
        <v>290</v>
      </c>
      <c r="I23" s="18">
        <v>44502</v>
      </c>
      <c r="J23" s="29"/>
      <c r="K23" s="31"/>
    </row>
    <row r="24" spans="1:11" ht="24.95" customHeight="1">
      <c r="A24" s="27">
        <v>18</v>
      </c>
      <c r="B24" s="20" t="s">
        <v>279</v>
      </c>
      <c r="C24" s="32"/>
      <c r="D24" s="29" t="s">
        <v>281</v>
      </c>
      <c r="E24" s="29" t="s">
        <v>283</v>
      </c>
      <c r="F24" s="29" t="s">
        <v>286</v>
      </c>
      <c r="G24" s="30" t="s">
        <v>288</v>
      </c>
      <c r="H24" s="29" t="s">
        <v>291</v>
      </c>
      <c r="I24" s="18">
        <v>44502</v>
      </c>
      <c r="J24" s="29"/>
      <c r="K24" s="31"/>
    </row>
    <row r="25" spans="1:11" ht="24.95" customHeight="1">
      <c r="A25" s="27">
        <v>19</v>
      </c>
      <c r="B25" s="20" t="s">
        <v>279</v>
      </c>
      <c r="C25" s="18">
        <v>44503</v>
      </c>
      <c r="D25" s="10" t="s">
        <v>271</v>
      </c>
      <c r="E25" s="29" t="s">
        <v>273</v>
      </c>
      <c r="F25" s="29" t="s">
        <v>275</v>
      </c>
      <c r="G25" s="30" t="s">
        <v>277</v>
      </c>
      <c r="H25" s="29" t="s">
        <v>108</v>
      </c>
      <c r="I25" s="18">
        <v>44508</v>
      </c>
      <c r="J25" s="29"/>
      <c r="K25" s="31"/>
    </row>
    <row r="26" spans="1:11" ht="24.95" customHeight="1">
      <c r="A26" s="27">
        <v>20</v>
      </c>
      <c r="B26" s="20" t="s">
        <v>279</v>
      </c>
      <c r="C26" s="32"/>
      <c r="D26" s="10" t="s">
        <v>272</v>
      </c>
      <c r="E26" s="29" t="s">
        <v>274</v>
      </c>
      <c r="F26" s="29" t="s">
        <v>276</v>
      </c>
      <c r="G26" s="30" t="s">
        <v>278</v>
      </c>
      <c r="H26" s="29" t="s">
        <v>263</v>
      </c>
      <c r="I26" s="18">
        <v>44508</v>
      </c>
      <c r="J26" s="29"/>
      <c r="K26" s="31"/>
    </row>
    <row r="27" spans="1:11" ht="24.95" customHeight="1">
      <c r="A27" s="27">
        <v>21</v>
      </c>
      <c r="B27" s="20" t="s">
        <v>101</v>
      </c>
      <c r="C27" s="32">
        <v>44504</v>
      </c>
      <c r="D27" s="29" t="s">
        <v>292</v>
      </c>
      <c r="E27" s="29" t="s">
        <v>293</v>
      </c>
      <c r="F27" s="29" t="s">
        <v>294</v>
      </c>
      <c r="G27" s="30" t="s">
        <v>295</v>
      </c>
      <c r="H27" s="29" t="s">
        <v>296</v>
      </c>
      <c r="I27" s="32">
        <v>44504</v>
      </c>
      <c r="J27" s="29"/>
      <c r="K27" s="31"/>
    </row>
    <row r="28" spans="1:11" ht="24.95" customHeight="1">
      <c r="A28" s="27">
        <v>22</v>
      </c>
      <c r="B28" s="28" t="s">
        <v>297</v>
      </c>
      <c r="C28" s="32">
        <v>44545</v>
      </c>
      <c r="D28" s="29" t="s">
        <v>298</v>
      </c>
      <c r="E28" s="29" t="s">
        <v>132</v>
      </c>
      <c r="F28" s="29" t="s">
        <v>299</v>
      </c>
      <c r="G28" s="30" t="s">
        <v>300</v>
      </c>
      <c r="H28" s="29" t="s">
        <v>301</v>
      </c>
      <c r="I28" s="32" t="s">
        <v>302</v>
      </c>
      <c r="J28" s="29"/>
      <c r="K28" s="31"/>
    </row>
    <row r="29" spans="1:11" ht="24.95" customHeight="1">
      <c r="A29" s="27">
        <v>23</v>
      </c>
      <c r="B29" s="28" t="s">
        <v>101</v>
      </c>
      <c r="C29" s="32">
        <v>44560</v>
      </c>
      <c r="D29" s="29" t="s">
        <v>303</v>
      </c>
      <c r="E29" s="29" t="s">
        <v>47</v>
      </c>
      <c r="F29" s="29" t="s">
        <v>304</v>
      </c>
      <c r="G29" s="30" t="s">
        <v>305</v>
      </c>
      <c r="H29" s="29"/>
      <c r="I29" s="32"/>
      <c r="J29" s="29"/>
      <c r="K29" s="31"/>
    </row>
    <row r="30" spans="1:11" ht="24.95" customHeight="1">
      <c r="A30" s="27">
        <v>24</v>
      </c>
      <c r="B30" s="28" t="s">
        <v>101</v>
      </c>
      <c r="C30" s="29"/>
      <c r="D30" s="29" t="s">
        <v>303</v>
      </c>
      <c r="E30" s="29" t="s">
        <v>47</v>
      </c>
      <c r="F30" s="29" t="s">
        <v>306</v>
      </c>
      <c r="G30" s="30" t="s">
        <v>316</v>
      </c>
      <c r="H30" s="29"/>
      <c r="I30" s="29"/>
      <c r="J30" s="29"/>
      <c r="K30" s="31"/>
    </row>
    <row r="31" spans="1:11" ht="24.95" customHeight="1">
      <c r="A31" s="27">
        <v>25</v>
      </c>
      <c r="B31" s="28" t="s">
        <v>101</v>
      </c>
      <c r="C31" s="29"/>
      <c r="D31" s="29" t="s">
        <v>303</v>
      </c>
      <c r="E31" s="29" t="s">
        <v>307</v>
      </c>
      <c r="F31" s="29" t="s">
        <v>308</v>
      </c>
      <c r="G31" s="30" t="s">
        <v>316</v>
      </c>
      <c r="H31" s="29"/>
      <c r="I31" s="29"/>
      <c r="J31" s="29"/>
      <c r="K31" s="31"/>
    </row>
    <row r="32" spans="1:11" ht="24.95" customHeight="1">
      <c r="A32" s="27">
        <v>26</v>
      </c>
      <c r="B32" s="28" t="s">
        <v>101</v>
      </c>
      <c r="C32" s="29"/>
      <c r="D32" s="29" t="s">
        <v>303</v>
      </c>
      <c r="E32" s="29" t="s">
        <v>309</v>
      </c>
      <c r="F32" s="29" t="s">
        <v>310</v>
      </c>
      <c r="G32" s="30" t="s">
        <v>317</v>
      </c>
      <c r="H32" s="29"/>
      <c r="I32" s="29"/>
      <c r="J32" s="29"/>
      <c r="K32" s="31"/>
    </row>
    <row r="33" spans="1:11" ht="24.95" customHeight="1">
      <c r="A33" s="27">
        <v>27</v>
      </c>
      <c r="B33" s="28" t="s">
        <v>101</v>
      </c>
      <c r="C33" s="29"/>
      <c r="D33" s="29" t="s">
        <v>311</v>
      </c>
      <c r="E33" s="29" t="s">
        <v>309</v>
      </c>
      <c r="F33" s="29" t="s">
        <v>312</v>
      </c>
      <c r="G33" s="30" t="s">
        <v>317</v>
      </c>
      <c r="H33" s="29"/>
      <c r="I33" s="29"/>
      <c r="J33" s="29"/>
      <c r="K33" s="31"/>
    </row>
    <row r="34" spans="1:11" ht="24.95" customHeight="1">
      <c r="A34" s="27">
        <v>28</v>
      </c>
      <c r="B34" s="28" t="s">
        <v>101</v>
      </c>
      <c r="C34" s="29"/>
      <c r="D34" s="29" t="s">
        <v>313</v>
      </c>
      <c r="E34" s="29" t="s">
        <v>314</v>
      </c>
      <c r="F34" s="29" t="s">
        <v>315</v>
      </c>
      <c r="G34" s="30" t="s">
        <v>317</v>
      </c>
      <c r="H34" s="29"/>
      <c r="I34" s="29"/>
      <c r="J34" s="29"/>
      <c r="K34" s="31"/>
    </row>
    <row r="35" spans="1:11" ht="24.95" customHeight="1" thickBot="1">
      <c r="A35" s="138">
        <v>29</v>
      </c>
      <c r="B35" s="139" t="s">
        <v>101</v>
      </c>
      <c r="C35" s="140">
        <v>44560</v>
      </c>
      <c r="D35" s="141" t="s">
        <v>303</v>
      </c>
      <c r="E35" s="141" t="s">
        <v>309</v>
      </c>
      <c r="F35" s="141" t="s">
        <v>310</v>
      </c>
      <c r="G35" s="142" t="s">
        <v>300</v>
      </c>
      <c r="H35" s="141"/>
      <c r="I35" s="141"/>
      <c r="J35" s="141"/>
      <c r="K35" s="143"/>
    </row>
    <row r="36" spans="1:11" ht="17.25" thickTop="1"/>
  </sheetData>
  <mergeCells count="11">
    <mergeCell ref="J5:K5"/>
    <mergeCell ref="A3:K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300" verticalDpi="300" r:id="rId1"/>
  <headerFooter>
    <oddFooter>&amp;L서식 경영지원 2018-100-009 REV.1&amp;C미성엠프로(주)&amp;RA4(210×297mm)</oddFooter>
  </headerFooter>
  <rowBreaks count="1" manualBreakCount="1">
    <brk id="21" max="10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K16"/>
  <sheetViews>
    <sheetView showWhiteSpace="0" zoomScaleNormal="100" workbookViewId="0">
      <selection activeCell="A8" sqref="A8"/>
    </sheetView>
  </sheetViews>
  <sheetFormatPr defaultRowHeight="16.5"/>
  <cols>
    <col min="1" max="1" width="5.625" customWidth="1"/>
    <col min="2" max="2" width="6.625" customWidth="1"/>
    <col min="3" max="3" width="12.625" customWidth="1"/>
    <col min="4" max="4" width="15.625" customWidth="1"/>
    <col min="5" max="5" width="8.625" customWidth="1"/>
    <col min="6" max="6" width="10.625" customWidth="1"/>
    <col min="7" max="7" width="30.625" customWidth="1"/>
    <col min="8" max="8" width="10.625" customWidth="1"/>
    <col min="9" max="9" width="12.625" customWidth="1"/>
    <col min="10" max="11" width="8.625" customWidth="1"/>
  </cols>
  <sheetData>
    <row r="2" spans="1:11">
      <c r="A2" s="1" t="s">
        <v>0</v>
      </c>
      <c r="B2" s="1"/>
    </row>
    <row r="3" spans="1:11" ht="26.25">
      <c r="A3" s="156" t="s">
        <v>1</v>
      </c>
      <c r="B3" s="156"/>
      <c r="C3" s="156"/>
      <c r="D3" s="156"/>
      <c r="E3" s="156"/>
      <c r="F3" s="156"/>
      <c r="G3" s="156"/>
      <c r="H3" s="156"/>
      <c r="I3" s="156"/>
      <c r="J3" s="156"/>
      <c r="K3" s="156"/>
    </row>
    <row r="4" spans="1:11" ht="17.25" thickBot="1">
      <c r="A4" s="22" t="s">
        <v>318</v>
      </c>
      <c r="B4" s="2"/>
    </row>
    <row r="5" spans="1:11" ht="21.95" customHeight="1" thickTop="1">
      <c r="A5" s="157" t="s">
        <v>2</v>
      </c>
      <c r="B5" s="152" t="s">
        <v>33</v>
      </c>
      <c r="C5" s="152" t="s">
        <v>3</v>
      </c>
      <c r="D5" s="152" t="s">
        <v>4</v>
      </c>
      <c r="E5" s="152" t="s">
        <v>5</v>
      </c>
      <c r="F5" s="152" t="s">
        <v>6</v>
      </c>
      <c r="G5" s="152" t="s">
        <v>7</v>
      </c>
      <c r="H5" s="152" t="s">
        <v>8</v>
      </c>
      <c r="I5" s="152" t="s">
        <v>9</v>
      </c>
      <c r="J5" s="154" t="s">
        <v>10</v>
      </c>
      <c r="K5" s="155"/>
    </row>
    <row r="6" spans="1:11" ht="21.95" customHeight="1" thickBot="1">
      <c r="A6" s="158"/>
      <c r="B6" s="153"/>
      <c r="C6" s="153"/>
      <c r="D6" s="153"/>
      <c r="E6" s="153"/>
      <c r="F6" s="153"/>
      <c r="G6" s="153"/>
      <c r="H6" s="153"/>
      <c r="I6" s="153"/>
      <c r="J6" s="3" t="s">
        <v>11</v>
      </c>
      <c r="K6" s="4" t="s">
        <v>12</v>
      </c>
    </row>
    <row r="7" spans="1:11" ht="24.95" customHeight="1" thickTop="1">
      <c r="A7" s="5">
        <v>1</v>
      </c>
      <c r="B7" s="20" t="s">
        <v>319</v>
      </c>
      <c r="C7" s="25">
        <v>44602</v>
      </c>
      <c r="D7" s="26" t="s">
        <v>320</v>
      </c>
      <c r="E7" s="26" t="s">
        <v>43</v>
      </c>
      <c r="F7" s="26" t="s">
        <v>321</v>
      </c>
      <c r="G7" s="36" t="s">
        <v>323</v>
      </c>
      <c r="H7" s="26" t="s">
        <v>325</v>
      </c>
      <c r="I7" s="25">
        <v>44603</v>
      </c>
      <c r="J7" s="6"/>
      <c r="K7" s="8"/>
    </row>
    <row r="8" spans="1:11" ht="24.95" customHeight="1">
      <c r="A8" s="9">
        <v>2</v>
      </c>
      <c r="B8" s="20" t="s">
        <v>34</v>
      </c>
      <c r="C8" s="33">
        <v>44602</v>
      </c>
      <c r="D8" s="34" t="s">
        <v>328</v>
      </c>
      <c r="E8" s="24" t="s">
        <v>327</v>
      </c>
      <c r="F8" s="24" t="s">
        <v>326</v>
      </c>
      <c r="G8" s="35" t="s">
        <v>322</v>
      </c>
      <c r="H8" s="55" t="s">
        <v>324</v>
      </c>
      <c r="I8" s="23">
        <v>44603</v>
      </c>
      <c r="J8" s="10"/>
      <c r="K8" s="12"/>
    </row>
    <row r="9" spans="1:11" ht="24.95" customHeight="1">
      <c r="A9" s="9">
        <v>3</v>
      </c>
      <c r="B9" s="20" t="s">
        <v>34</v>
      </c>
      <c r="C9" s="18">
        <v>44658</v>
      </c>
      <c r="D9" s="10" t="s">
        <v>329</v>
      </c>
      <c r="E9" s="10" t="s">
        <v>14</v>
      </c>
      <c r="F9" s="10" t="s">
        <v>330</v>
      </c>
      <c r="G9" s="11" t="s">
        <v>331</v>
      </c>
      <c r="H9" s="10" t="s">
        <v>17</v>
      </c>
      <c r="I9" s="18">
        <v>44679</v>
      </c>
      <c r="J9" s="10"/>
      <c r="K9" s="12"/>
    </row>
    <row r="10" spans="1:11" ht="24.95" customHeight="1">
      <c r="A10" s="9">
        <v>4</v>
      </c>
      <c r="B10" s="20" t="s">
        <v>35</v>
      </c>
      <c r="C10" s="18">
        <v>44748</v>
      </c>
      <c r="D10" s="10" t="s">
        <v>332</v>
      </c>
      <c r="E10" s="10" t="s">
        <v>333</v>
      </c>
      <c r="F10" s="10" t="s">
        <v>334</v>
      </c>
      <c r="G10" s="11" t="s">
        <v>335</v>
      </c>
      <c r="H10" s="10" t="s">
        <v>221</v>
      </c>
      <c r="I10" s="18">
        <v>44748</v>
      </c>
      <c r="J10" s="10"/>
      <c r="K10" s="12"/>
    </row>
    <row r="11" spans="1:11" ht="24.95" customHeight="1">
      <c r="A11" s="9">
        <v>5</v>
      </c>
      <c r="B11" s="20" t="s">
        <v>336</v>
      </c>
      <c r="C11" s="18">
        <v>44748</v>
      </c>
      <c r="D11" s="10" t="s">
        <v>337</v>
      </c>
      <c r="E11" s="10" t="s">
        <v>340</v>
      </c>
      <c r="F11" s="10" t="s">
        <v>341</v>
      </c>
      <c r="G11" s="37" t="s">
        <v>342</v>
      </c>
      <c r="H11" s="10" t="s">
        <v>344</v>
      </c>
      <c r="I11" s="18">
        <v>44748</v>
      </c>
      <c r="J11" s="10"/>
      <c r="K11" s="12"/>
    </row>
    <row r="12" spans="1:11" ht="24.95" customHeight="1">
      <c r="A12" s="9">
        <v>6</v>
      </c>
      <c r="B12" s="20" t="s">
        <v>336</v>
      </c>
      <c r="C12" s="18">
        <v>44748</v>
      </c>
      <c r="D12" s="10" t="s">
        <v>337</v>
      </c>
      <c r="E12" s="10" t="s">
        <v>338</v>
      </c>
      <c r="F12" s="10" t="s">
        <v>339</v>
      </c>
      <c r="G12" s="11" t="s">
        <v>343</v>
      </c>
      <c r="H12" s="10" t="s">
        <v>345</v>
      </c>
      <c r="I12" s="18">
        <v>44748</v>
      </c>
      <c r="J12" s="10"/>
      <c r="K12" s="12"/>
    </row>
    <row r="13" spans="1:11" ht="24.95" customHeight="1">
      <c r="A13" s="9">
        <v>7</v>
      </c>
      <c r="B13" s="20" t="s">
        <v>346</v>
      </c>
      <c r="C13" s="18">
        <v>44770</v>
      </c>
      <c r="D13" s="10" t="s">
        <v>349</v>
      </c>
      <c r="E13" s="10" t="s">
        <v>350</v>
      </c>
      <c r="F13" s="10" t="s">
        <v>351</v>
      </c>
      <c r="G13" s="11" t="s">
        <v>354</v>
      </c>
      <c r="H13" s="10" t="s">
        <v>357</v>
      </c>
      <c r="I13" s="18">
        <v>44770</v>
      </c>
      <c r="J13" s="10"/>
      <c r="K13" s="12"/>
    </row>
    <row r="14" spans="1:11" ht="24.95" customHeight="1">
      <c r="A14" s="9">
        <v>8</v>
      </c>
      <c r="B14" s="20" t="s">
        <v>347</v>
      </c>
      <c r="C14" s="18">
        <v>44770</v>
      </c>
      <c r="D14" s="10" t="s">
        <v>349</v>
      </c>
      <c r="E14" s="10" t="s">
        <v>350</v>
      </c>
      <c r="F14" s="10" t="s">
        <v>352</v>
      </c>
      <c r="G14" s="11" t="s">
        <v>354</v>
      </c>
      <c r="H14" s="10" t="s">
        <v>356</v>
      </c>
      <c r="I14" s="18">
        <v>44770</v>
      </c>
      <c r="J14" s="10"/>
      <c r="K14" s="12"/>
    </row>
    <row r="15" spans="1:11" ht="24.95" customHeight="1" thickBot="1">
      <c r="A15" s="138">
        <v>9</v>
      </c>
      <c r="B15" s="139" t="s">
        <v>348</v>
      </c>
      <c r="C15" s="140">
        <v>44770</v>
      </c>
      <c r="D15" s="141" t="s">
        <v>349</v>
      </c>
      <c r="E15" s="141" t="s">
        <v>350</v>
      </c>
      <c r="F15" s="141" t="s">
        <v>353</v>
      </c>
      <c r="G15" s="142" t="s">
        <v>354</v>
      </c>
      <c r="H15" s="141" t="s">
        <v>355</v>
      </c>
      <c r="I15" s="140">
        <v>44770</v>
      </c>
      <c r="J15" s="141"/>
      <c r="K15" s="143"/>
    </row>
    <row r="16" spans="1:11" ht="17.25" thickTop="1"/>
  </sheetData>
  <mergeCells count="11">
    <mergeCell ref="J5:K5"/>
    <mergeCell ref="A3:K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300" verticalDpi="300" r:id="rId1"/>
  <headerFooter>
    <oddFooter>&amp;L서식 경영지원 2018-100-009 REV.1&amp;C미성엠프로(주)&amp;RA4(210×297mm)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9C73E-B434-4010-BF9C-BCD0188C14F1}">
  <dimension ref="A2:J20"/>
  <sheetViews>
    <sheetView showWhiteSpace="0" zoomScaleNormal="100" workbookViewId="0">
      <pane ySplit="6" topLeftCell="A7" activePane="bottomLeft" state="frozen"/>
      <selection pane="bottomLeft" activeCell="A4" sqref="A4"/>
    </sheetView>
  </sheetViews>
  <sheetFormatPr defaultRowHeight="16.5"/>
  <cols>
    <col min="1" max="2" width="5.625" customWidth="1"/>
    <col min="3" max="3" width="6.625" customWidth="1"/>
    <col min="4" max="4" width="12.625" customWidth="1"/>
    <col min="5" max="5" width="15.625" customWidth="1"/>
    <col min="6" max="6" width="8.625" customWidth="1"/>
    <col min="7" max="7" width="10.625" customWidth="1"/>
    <col min="8" max="8" width="30.625" customWidth="1"/>
    <col min="9" max="9" width="12.5" bestFit="1" customWidth="1"/>
    <col min="10" max="10" width="12.625" customWidth="1"/>
  </cols>
  <sheetData>
    <row r="2" spans="1:10">
      <c r="A2" s="1" t="s">
        <v>0</v>
      </c>
      <c r="B2" s="1"/>
      <c r="C2" s="1"/>
    </row>
    <row r="3" spans="1:10" ht="26.25">
      <c r="A3" s="156" t="s">
        <v>210</v>
      </c>
      <c r="B3" s="156"/>
      <c r="C3" s="156"/>
      <c r="D3" s="156"/>
      <c r="E3" s="156"/>
      <c r="F3" s="156"/>
      <c r="G3" s="156"/>
      <c r="H3" s="156"/>
      <c r="I3" s="156"/>
      <c r="J3" s="156"/>
    </row>
    <row r="4" spans="1:10" ht="17.25" thickBot="1">
      <c r="A4" s="22" t="s">
        <v>586</v>
      </c>
      <c r="B4" s="22"/>
      <c r="C4" s="2"/>
    </row>
    <row r="5" spans="1:10" ht="21.95" customHeight="1">
      <c r="A5" s="161" t="s">
        <v>2</v>
      </c>
      <c r="B5" s="163" t="s">
        <v>211</v>
      </c>
      <c r="C5" s="163" t="s">
        <v>33</v>
      </c>
      <c r="D5" s="163" t="s">
        <v>3</v>
      </c>
      <c r="E5" s="163" t="s">
        <v>4</v>
      </c>
      <c r="F5" s="163" t="s">
        <v>5</v>
      </c>
      <c r="G5" s="163" t="s">
        <v>6</v>
      </c>
      <c r="H5" s="163" t="s">
        <v>7</v>
      </c>
      <c r="I5" s="163" t="s">
        <v>8</v>
      </c>
      <c r="J5" s="159" t="s">
        <v>9</v>
      </c>
    </row>
    <row r="6" spans="1:10" ht="21.95" customHeight="1" thickBot="1">
      <c r="A6" s="162"/>
      <c r="B6" s="164"/>
      <c r="C6" s="164"/>
      <c r="D6" s="164"/>
      <c r="E6" s="164"/>
      <c r="F6" s="164"/>
      <c r="G6" s="164"/>
      <c r="H6" s="164"/>
      <c r="I6" s="164"/>
      <c r="J6" s="160"/>
    </row>
    <row r="7" spans="1:10" ht="24.95" customHeight="1" thickTop="1">
      <c r="A7" s="50">
        <f>ROW()-6</f>
        <v>1</v>
      </c>
      <c r="B7" s="83">
        <v>2023</v>
      </c>
      <c r="C7" s="84" t="s">
        <v>34</v>
      </c>
      <c r="D7" s="33">
        <v>44992</v>
      </c>
      <c r="E7" s="34" t="s">
        <v>178</v>
      </c>
      <c r="F7" s="34" t="s">
        <v>14</v>
      </c>
      <c r="G7" s="34" t="s">
        <v>353</v>
      </c>
      <c r="H7" s="37" t="s">
        <v>428</v>
      </c>
      <c r="I7" s="34" t="s">
        <v>24</v>
      </c>
      <c r="J7" s="85">
        <v>44993</v>
      </c>
    </row>
    <row r="8" spans="1:10" ht="24.95" customHeight="1">
      <c r="A8" s="42">
        <f t="shared" ref="A8:A20" si="0">ROW()-6</f>
        <v>2</v>
      </c>
      <c r="B8" s="41">
        <v>2023</v>
      </c>
      <c r="C8" s="75"/>
      <c r="D8" s="76"/>
      <c r="E8" s="55" t="s">
        <v>178</v>
      </c>
      <c r="F8" s="55" t="s">
        <v>360</v>
      </c>
      <c r="G8" s="55" t="s">
        <v>423</v>
      </c>
      <c r="H8" s="77" t="s">
        <v>365</v>
      </c>
      <c r="I8" s="55" t="s">
        <v>25</v>
      </c>
      <c r="J8" s="86">
        <v>44993</v>
      </c>
    </row>
    <row r="9" spans="1:10" ht="24.95" customHeight="1">
      <c r="A9" s="42">
        <f t="shared" si="0"/>
        <v>3</v>
      </c>
      <c r="B9" s="41">
        <v>2023</v>
      </c>
      <c r="C9" s="75" t="s">
        <v>35</v>
      </c>
      <c r="D9" s="76">
        <v>45006</v>
      </c>
      <c r="E9" s="34" t="s">
        <v>432</v>
      </c>
      <c r="F9" s="34" t="s">
        <v>89</v>
      </c>
      <c r="G9" s="34" t="s">
        <v>434</v>
      </c>
      <c r="H9" s="37" t="s">
        <v>237</v>
      </c>
      <c r="I9" s="34" t="s">
        <v>221</v>
      </c>
      <c r="J9" s="86">
        <v>45006</v>
      </c>
    </row>
    <row r="10" spans="1:10" s="126" customFormat="1" ht="24.95" customHeight="1">
      <c r="A10" s="104">
        <f t="shared" si="0"/>
        <v>4</v>
      </c>
      <c r="B10" s="105">
        <v>2023</v>
      </c>
      <c r="C10" s="106" t="s">
        <v>34</v>
      </c>
      <c r="D10" s="107">
        <v>45022</v>
      </c>
      <c r="E10" s="108" t="s">
        <v>435</v>
      </c>
      <c r="F10" s="108" t="s">
        <v>436</v>
      </c>
      <c r="G10" s="108" t="s">
        <v>437</v>
      </c>
      <c r="H10" s="109" t="s">
        <v>438</v>
      </c>
      <c r="I10" s="108" t="s">
        <v>41</v>
      </c>
      <c r="J10" s="110">
        <v>45022</v>
      </c>
    </row>
    <row r="11" spans="1:10" ht="24.95" customHeight="1">
      <c r="A11" s="42">
        <f t="shared" si="0"/>
        <v>5</v>
      </c>
      <c r="B11" s="41">
        <v>2023</v>
      </c>
      <c r="C11" s="75"/>
      <c r="D11" s="76"/>
      <c r="E11" s="55" t="s">
        <v>444</v>
      </c>
      <c r="F11" s="55" t="s">
        <v>360</v>
      </c>
      <c r="G11" s="55" t="s">
        <v>440</v>
      </c>
      <c r="H11" s="77" t="s">
        <v>365</v>
      </c>
      <c r="I11" s="55" t="s">
        <v>25</v>
      </c>
      <c r="J11" s="78"/>
    </row>
    <row r="12" spans="1:10" ht="24.95" customHeight="1">
      <c r="A12" s="42">
        <f t="shared" si="0"/>
        <v>6</v>
      </c>
      <c r="B12" s="41">
        <v>2023</v>
      </c>
      <c r="C12" s="75"/>
      <c r="D12" s="76"/>
      <c r="E12" s="55" t="s">
        <v>435</v>
      </c>
      <c r="F12" s="55" t="s">
        <v>14</v>
      </c>
      <c r="G12" s="55" t="s">
        <v>442</v>
      </c>
      <c r="H12" s="77" t="s">
        <v>438</v>
      </c>
      <c r="I12" s="55" t="s">
        <v>25</v>
      </c>
      <c r="J12" s="78"/>
    </row>
    <row r="13" spans="1:10" ht="24.95" customHeight="1">
      <c r="A13" s="42">
        <f t="shared" si="0"/>
        <v>7</v>
      </c>
      <c r="B13" s="41">
        <v>2023</v>
      </c>
      <c r="C13" s="75" t="s">
        <v>443</v>
      </c>
      <c r="D13" s="76">
        <v>45049</v>
      </c>
      <c r="E13" s="55" t="s">
        <v>435</v>
      </c>
      <c r="F13" s="55" t="s">
        <v>436</v>
      </c>
      <c r="G13" s="55" t="s">
        <v>437</v>
      </c>
      <c r="H13" s="77" t="s">
        <v>438</v>
      </c>
      <c r="I13" s="55" t="s">
        <v>447</v>
      </c>
      <c r="J13" s="86">
        <v>45056</v>
      </c>
    </row>
    <row r="14" spans="1:10" ht="24.95" customHeight="1">
      <c r="A14" s="42">
        <f t="shared" si="0"/>
        <v>8</v>
      </c>
      <c r="B14" s="41">
        <v>2023</v>
      </c>
      <c r="C14" s="75" t="s">
        <v>34</v>
      </c>
      <c r="D14" s="76">
        <v>45077</v>
      </c>
      <c r="E14" s="55" t="s">
        <v>449</v>
      </c>
      <c r="F14" s="55" t="s">
        <v>28</v>
      </c>
      <c r="G14" s="55" t="s">
        <v>451</v>
      </c>
      <c r="H14" s="77" t="s">
        <v>365</v>
      </c>
      <c r="I14" s="55" t="s">
        <v>452</v>
      </c>
      <c r="J14" s="86">
        <v>45082</v>
      </c>
    </row>
    <row r="15" spans="1:10" ht="24.95" customHeight="1">
      <c r="A15" s="42">
        <f t="shared" si="0"/>
        <v>9</v>
      </c>
      <c r="B15" s="41">
        <v>2023</v>
      </c>
      <c r="C15" s="75" t="s">
        <v>35</v>
      </c>
      <c r="D15" s="76">
        <v>45112</v>
      </c>
      <c r="E15" s="55" t="s">
        <v>178</v>
      </c>
      <c r="F15" s="55" t="s">
        <v>360</v>
      </c>
      <c r="G15" s="55" t="s">
        <v>423</v>
      </c>
      <c r="H15" s="77" t="s">
        <v>454</v>
      </c>
      <c r="I15" s="55" t="s">
        <v>455</v>
      </c>
      <c r="J15" s="86">
        <v>45112</v>
      </c>
    </row>
    <row r="16" spans="1:10" ht="24.95" customHeight="1">
      <c r="A16" s="42">
        <f t="shared" si="0"/>
        <v>10</v>
      </c>
      <c r="B16" s="41">
        <v>2023</v>
      </c>
      <c r="C16" s="75" t="s">
        <v>35</v>
      </c>
      <c r="D16" s="76">
        <v>45182</v>
      </c>
      <c r="E16" s="55" t="s">
        <v>332</v>
      </c>
      <c r="F16" s="55" t="s">
        <v>47</v>
      </c>
      <c r="G16" s="55" t="s">
        <v>470</v>
      </c>
      <c r="H16" s="77" t="s">
        <v>438</v>
      </c>
      <c r="I16" s="55" t="s">
        <v>422</v>
      </c>
      <c r="J16" s="86">
        <v>45182</v>
      </c>
    </row>
    <row r="17" spans="1:10" ht="24.95" customHeight="1">
      <c r="A17" s="42">
        <f t="shared" si="0"/>
        <v>11</v>
      </c>
      <c r="B17" s="41">
        <v>2023</v>
      </c>
      <c r="C17" s="75" t="s">
        <v>35</v>
      </c>
      <c r="D17" s="76">
        <v>45182</v>
      </c>
      <c r="E17" s="55" t="s">
        <v>332</v>
      </c>
      <c r="F17" s="55" t="s">
        <v>154</v>
      </c>
      <c r="G17" s="55" t="s">
        <v>471</v>
      </c>
      <c r="H17" s="77" t="s">
        <v>438</v>
      </c>
      <c r="I17" s="55" t="s">
        <v>422</v>
      </c>
      <c r="J17" s="86">
        <v>45182</v>
      </c>
    </row>
    <row r="18" spans="1:10" ht="24.95" customHeight="1">
      <c r="A18" s="42">
        <f t="shared" si="0"/>
        <v>12</v>
      </c>
      <c r="B18" s="41">
        <v>2023</v>
      </c>
      <c r="C18" s="75" t="s">
        <v>35</v>
      </c>
      <c r="D18" s="76">
        <v>45182</v>
      </c>
      <c r="E18" s="55" t="s">
        <v>332</v>
      </c>
      <c r="F18" s="55" t="s">
        <v>28</v>
      </c>
      <c r="G18" s="55" t="s">
        <v>469</v>
      </c>
      <c r="H18" s="77" t="s">
        <v>365</v>
      </c>
      <c r="I18" s="55" t="s">
        <v>25</v>
      </c>
      <c r="J18" s="86">
        <v>45182</v>
      </c>
    </row>
    <row r="19" spans="1:10" ht="24.95" customHeight="1">
      <c r="A19" s="42">
        <f t="shared" si="0"/>
        <v>13</v>
      </c>
      <c r="B19" s="41">
        <v>2023</v>
      </c>
      <c r="C19" s="75" t="s">
        <v>479</v>
      </c>
      <c r="D19" s="76">
        <v>45183</v>
      </c>
      <c r="E19" s="55" t="s">
        <v>474</v>
      </c>
      <c r="F19" s="55" t="s">
        <v>154</v>
      </c>
      <c r="G19" s="55" t="s">
        <v>475</v>
      </c>
      <c r="H19" s="77" t="s">
        <v>477</v>
      </c>
      <c r="I19" s="55" t="s">
        <v>452</v>
      </c>
      <c r="J19" s="86">
        <v>45183</v>
      </c>
    </row>
    <row r="20" spans="1:10" ht="24.95" customHeight="1" thickBot="1">
      <c r="A20" s="44">
        <f t="shared" si="0"/>
        <v>14</v>
      </c>
      <c r="B20" s="45">
        <v>2023</v>
      </c>
      <c r="C20" s="79" t="s">
        <v>479</v>
      </c>
      <c r="D20" s="80">
        <v>45183</v>
      </c>
      <c r="E20" s="81" t="s">
        <v>474</v>
      </c>
      <c r="F20" s="81" t="s">
        <v>14</v>
      </c>
      <c r="G20" s="81" t="s">
        <v>476</v>
      </c>
      <c r="H20" s="82" t="s">
        <v>477</v>
      </c>
      <c r="I20" s="81" t="s">
        <v>462</v>
      </c>
      <c r="J20" s="87">
        <v>45183</v>
      </c>
    </row>
  </sheetData>
  <mergeCells count="11">
    <mergeCell ref="J5:J6"/>
    <mergeCell ref="A3:J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9A89-A226-4252-9463-FC92CB461B84}">
  <dimension ref="A2:J31"/>
  <sheetViews>
    <sheetView showWhiteSpace="0" zoomScaleNormal="100" workbookViewId="0">
      <pane ySplit="6" topLeftCell="A7" activePane="bottomLeft" state="frozen"/>
      <selection pane="bottomLeft" activeCell="A4" sqref="A4"/>
    </sheetView>
  </sheetViews>
  <sheetFormatPr defaultRowHeight="16.5"/>
  <cols>
    <col min="1" max="2" width="5.625" customWidth="1"/>
    <col min="3" max="3" width="6.625" customWidth="1"/>
    <col min="4" max="4" width="12.625" customWidth="1"/>
    <col min="5" max="5" width="15.625" customWidth="1"/>
    <col min="6" max="6" width="8.625" customWidth="1"/>
    <col min="7" max="7" width="10.625" customWidth="1"/>
    <col min="8" max="8" width="30.625" customWidth="1"/>
    <col min="9" max="9" width="12.5" bestFit="1" customWidth="1"/>
    <col min="10" max="10" width="12.625" customWidth="1"/>
  </cols>
  <sheetData>
    <row r="2" spans="1:10">
      <c r="A2" s="1" t="s">
        <v>0</v>
      </c>
      <c r="B2" s="1"/>
      <c r="C2" s="1"/>
    </row>
    <row r="3" spans="1:10" ht="26.25">
      <c r="A3" s="156" t="s">
        <v>210</v>
      </c>
      <c r="B3" s="156"/>
      <c r="C3" s="156"/>
      <c r="D3" s="156"/>
      <c r="E3" s="156"/>
      <c r="F3" s="156"/>
      <c r="G3" s="156"/>
      <c r="H3" s="156"/>
      <c r="I3" s="156"/>
      <c r="J3" s="156"/>
    </row>
    <row r="4" spans="1:10" ht="17.25" thickBot="1">
      <c r="A4" s="22" t="s">
        <v>587</v>
      </c>
      <c r="B4" s="22"/>
      <c r="C4" s="2"/>
    </row>
    <row r="5" spans="1:10" ht="21.95" customHeight="1">
      <c r="A5" s="161" t="s">
        <v>2</v>
      </c>
      <c r="B5" s="163" t="s">
        <v>211</v>
      </c>
      <c r="C5" s="163" t="s">
        <v>33</v>
      </c>
      <c r="D5" s="163" t="s">
        <v>3</v>
      </c>
      <c r="E5" s="163" t="s">
        <v>4</v>
      </c>
      <c r="F5" s="163" t="s">
        <v>5</v>
      </c>
      <c r="G5" s="163" t="s">
        <v>6</v>
      </c>
      <c r="H5" s="163" t="s">
        <v>7</v>
      </c>
      <c r="I5" s="163" t="s">
        <v>8</v>
      </c>
      <c r="J5" s="159" t="s">
        <v>9</v>
      </c>
    </row>
    <row r="6" spans="1:10" ht="21.95" customHeight="1" thickBot="1">
      <c r="A6" s="162"/>
      <c r="B6" s="164"/>
      <c r="C6" s="164"/>
      <c r="D6" s="164"/>
      <c r="E6" s="164"/>
      <c r="F6" s="164"/>
      <c r="G6" s="164"/>
      <c r="H6" s="164"/>
      <c r="I6" s="164"/>
      <c r="J6" s="160"/>
    </row>
    <row r="7" spans="1:10" ht="24.95" customHeight="1" thickTop="1">
      <c r="A7" s="61">
        <f>ROW()-6</f>
        <v>1</v>
      </c>
      <c r="B7" s="62">
        <v>2024</v>
      </c>
      <c r="C7" s="97" t="s">
        <v>479</v>
      </c>
      <c r="D7" s="64">
        <v>45377</v>
      </c>
      <c r="E7" s="65" t="s">
        <v>109</v>
      </c>
      <c r="F7" s="65" t="s">
        <v>360</v>
      </c>
      <c r="G7" s="65" t="s">
        <v>193</v>
      </c>
      <c r="H7" s="66" t="s">
        <v>478</v>
      </c>
      <c r="I7" s="65" t="s">
        <v>221</v>
      </c>
      <c r="J7" s="67">
        <v>45377</v>
      </c>
    </row>
    <row r="8" spans="1:10" ht="24.95" customHeight="1">
      <c r="A8" s="42">
        <f t="shared" ref="A8:A31" si="0">ROW()-6</f>
        <v>2</v>
      </c>
      <c r="B8" s="41">
        <v>2024</v>
      </c>
      <c r="C8" s="41" t="s">
        <v>479</v>
      </c>
      <c r="D8" s="76">
        <v>45377</v>
      </c>
      <c r="E8" s="55" t="s">
        <v>109</v>
      </c>
      <c r="F8" s="55" t="s">
        <v>126</v>
      </c>
      <c r="G8" s="55" t="s">
        <v>127</v>
      </c>
      <c r="H8" s="77" t="s">
        <v>478</v>
      </c>
      <c r="I8" s="55" t="s">
        <v>452</v>
      </c>
      <c r="J8" s="86">
        <v>45377</v>
      </c>
    </row>
    <row r="9" spans="1:10" ht="24.95" customHeight="1">
      <c r="A9" s="42">
        <f t="shared" si="0"/>
        <v>3</v>
      </c>
      <c r="B9" s="41">
        <v>2024</v>
      </c>
      <c r="C9" s="41" t="s">
        <v>479</v>
      </c>
      <c r="D9" s="76">
        <v>45420</v>
      </c>
      <c r="E9" s="55" t="s">
        <v>214</v>
      </c>
      <c r="F9" s="55" t="s">
        <v>179</v>
      </c>
      <c r="G9" s="55" t="s">
        <v>480</v>
      </c>
      <c r="H9" s="77" t="s">
        <v>481</v>
      </c>
      <c r="I9" s="55" t="s">
        <v>41</v>
      </c>
      <c r="J9" s="86">
        <v>45420</v>
      </c>
    </row>
    <row r="10" spans="1:10" ht="24.95" customHeight="1">
      <c r="A10" s="42">
        <f t="shared" si="0"/>
        <v>4</v>
      </c>
      <c r="B10" s="41">
        <v>2024</v>
      </c>
      <c r="C10" s="41" t="s">
        <v>479</v>
      </c>
      <c r="D10" s="76">
        <v>45420</v>
      </c>
      <c r="E10" s="55" t="s">
        <v>214</v>
      </c>
      <c r="F10" s="55" t="s">
        <v>89</v>
      </c>
      <c r="G10" s="55" t="s">
        <v>482</v>
      </c>
      <c r="H10" s="77" t="s">
        <v>481</v>
      </c>
      <c r="I10" s="55" t="s">
        <v>41</v>
      </c>
      <c r="J10" s="86">
        <v>45420</v>
      </c>
    </row>
    <row r="11" spans="1:10" ht="24.95" customHeight="1">
      <c r="A11" s="42">
        <f t="shared" si="0"/>
        <v>5</v>
      </c>
      <c r="B11" s="41">
        <v>2024</v>
      </c>
      <c r="C11" s="41" t="s">
        <v>479</v>
      </c>
      <c r="D11" s="76">
        <v>45420</v>
      </c>
      <c r="E11" s="55" t="s">
        <v>214</v>
      </c>
      <c r="F11" s="55" t="s">
        <v>154</v>
      </c>
      <c r="G11" s="55" t="s">
        <v>483</v>
      </c>
      <c r="H11" s="77" t="s">
        <v>481</v>
      </c>
      <c r="I11" s="55" t="s">
        <v>41</v>
      </c>
      <c r="J11" s="86">
        <v>45420</v>
      </c>
    </row>
    <row r="12" spans="1:10" ht="24.95" customHeight="1">
      <c r="A12" s="42">
        <f t="shared" si="0"/>
        <v>6</v>
      </c>
      <c r="B12" s="41">
        <v>2024</v>
      </c>
      <c r="C12" s="41" t="s">
        <v>479</v>
      </c>
      <c r="D12" s="76">
        <v>45420</v>
      </c>
      <c r="E12" s="55" t="s">
        <v>214</v>
      </c>
      <c r="F12" s="55" t="s">
        <v>14</v>
      </c>
      <c r="G12" s="55" t="s">
        <v>484</v>
      </c>
      <c r="H12" s="77" t="s">
        <v>481</v>
      </c>
      <c r="I12" s="55" t="s">
        <v>221</v>
      </c>
      <c r="J12" s="86">
        <v>45420</v>
      </c>
    </row>
    <row r="13" spans="1:10" ht="24.95" customHeight="1">
      <c r="A13" s="42">
        <f t="shared" si="0"/>
        <v>7</v>
      </c>
      <c r="B13" s="41">
        <v>2024</v>
      </c>
      <c r="C13" s="41" t="s">
        <v>479</v>
      </c>
      <c r="D13" s="76">
        <v>45420</v>
      </c>
      <c r="E13" s="55" t="s">
        <v>214</v>
      </c>
      <c r="F13" s="55" t="s">
        <v>14</v>
      </c>
      <c r="G13" s="55" t="s">
        <v>485</v>
      </c>
      <c r="H13" s="77" t="s">
        <v>481</v>
      </c>
      <c r="I13" s="55" t="s">
        <v>262</v>
      </c>
      <c r="J13" s="86">
        <v>45420</v>
      </c>
    </row>
    <row r="14" spans="1:10" ht="24.95" customHeight="1">
      <c r="A14" s="42">
        <f t="shared" si="0"/>
        <v>8</v>
      </c>
      <c r="B14" s="41">
        <v>2024</v>
      </c>
      <c r="C14" s="41" t="s">
        <v>479</v>
      </c>
      <c r="D14" s="76">
        <v>45420</v>
      </c>
      <c r="E14" s="55" t="s">
        <v>214</v>
      </c>
      <c r="F14" s="55" t="s">
        <v>14</v>
      </c>
      <c r="G14" s="55" t="s">
        <v>486</v>
      </c>
      <c r="H14" s="77" t="s">
        <v>481</v>
      </c>
      <c r="I14" s="55" t="s">
        <v>262</v>
      </c>
      <c r="J14" s="86">
        <v>45420</v>
      </c>
    </row>
    <row r="15" spans="1:10" ht="24.95" customHeight="1">
      <c r="A15" s="42">
        <f t="shared" si="0"/>
        <v>9</v>
      </c>
      <c r="B15" s="41">
        <v>2024</v>
      </c>
      <c r="C15" s="75"/>
      <c r="D15" s="76"/>
      <c r="E15" s="55" t="s">
        <v>487</v>
      </c>
      <c r="F15" s="55" t="s">
        <v>307</v>
      </c>
      <c r="G15" s="55" t="s">
        <v>488</v>
      </c>
      <c r="H15" s="77" t="s">
        <v>490</v>
      </c>
      <c r="I15" s="55" t="s">
        <v>489</v>
      </c>
      <c r="J15" s="86">
        <v>45532</v>
      </c>
    </row>
    <row r="16" spans="1:10" ht="24.95" customHeight="1">
      <c r="A16" s="42">
        <f t="shared" si="0"/>
        <v>10</v>
      </c>
      <c r="B16" s="41">
        <v>2024</v>
      </c>
      <c r="C16" s="41" t="s">
        <v>479</v>
      </c>
      <c r="D16" s="76">
        <v>45539</v>
      </c>
      <c r="E16" s="55" t="s">
        <v>491</v>
      </c>
      <c r="F16" s="55" t="s">
        <v>14</v>
      </c>
      <c r="G16" s="55" t="s">
        <v>492</v>
      </c>
      <c r="H16" s="77" t="s">
        <v>477</v>
      </c>
      <c r="I16" s="55" t="s">
        <v>221</v>
      </c>
      <c r="J16" s="86">
        <v>45555</v>
      </c>
    </row>
    <row r="17" spans="1:10" ht="24.95" customHeight="1">
      <c r="A17" s="42">
        <f t="shared" si="0"/>
        <v>11</v>
      </c>
      <c r="B17" s="41">
        <v>2024</v>
      </c>
      <c r="C17" s="41" t="s">
        <v>479</v>
      </c>
      <c r="D17" s="76">
        <v>45539</v>
      </c>
      <c r="E17" s="55" t="s">
        <v>491</v>
      </c>
      <c r="F17" s="55" t="s">
        <v>327</v>
      </c>
      <c r="G17" s="55" t="s">
        <v>493</v>
      </c>
      <c r="H17" s="77" t="s">
        <v>477</v>
      </c>
      <c r="I17" s="55" t="s">
        <v>221</v>
      </c>
      <c r="J17" s="86">
        <v>45555</v>
      </c>
    </row>
    <row r="18" spans="1:10" ht="24.95" customHeight="1">
      <c r="A18" s="42">
        <f t="shared" si="0"/>
        <v>12</v>
      </c>
      <c r="B18" s="41">
        <v>2024</v>
      </c>
      <c r="C18" s="41" t="s">
        <v>479</v>
      </c>
      <c r="D18" s="76">
        <v>45539</v>
      </c>
      <c r="E18" s="55" t="s">
        <v>491</v>
      </c>
      <c r="F18" s="55" t="s">
        <v>28</v>
      </c>
      <c r="G18" s="55" t="s">
        <v>119</v>
      </c>
      <c r="H18" s="77" t="s">
        <v>477</v>
      </c>
      <c r="I18" s="55" t="s">
        <v>463</v>
      </c>
      <c r="J18" s="86">
        <v>45555</v>
      </c>
    </row>
    <row r="19" spans="1:10" ht="24.95" customHeight="1">
      <c r="A19" s="42">
        <f t="shared" si="0"/>
        <v>13</v>
      </c>
      <c r="B19" s="41">
        <v>2024</v>
      </c>
      <c r="C19" s="75"/>
      <c r="D19" s="76">
        <v>45586</v>
      </c>
      <c r="E19" s="55" t="s">
        <v>109</v>
      </c>
      <c r="F19" s="55" t="s">
        <v>360</v>
      </c>
      <c r="G19" s="55" t="s">
        <v>193</v>
      </c>
      <c r="H19" s="77" t="s">
        <v>85</v>
      </c>
      <c r="I19" s="55" t="s">
        <v>463</v>
      </c>
      <c r="J19" s="86">
        <v>45586</v>
      </c>
    </row>
    <row r="20" spans="1:10" ht="24.95" customHeight="1">
      <c r="A20" s="42">
        <f t="shared" si="0"/>
        <v>14</v>
      </c>
      <c r="B20" s="41">
        <v>2024</v>
      </c>
      <c r="C20" s="75"/>
      <c r="D20" s="76">
        <v>45586</v>
      </c>
      <c r="E20" s="55" t="s">
        <v>109</v>
      </c>
      <c r="F20" s="55" t="s">
        <v>50</v>
      </c>
      <c r="G20" s="55" t="s">
        <v>150</v>
      </c>
      <c r="H20" s="77" t="s">
        <v>497</v>
      </c>
      <c r="I20" s="55" t="s">
        <v>221</v>
      </c>
      <c r="J20" s="86">
        <v>45586</v>
      </c>
    </row>
    <row r="21" spans="1:10" ht="24.95" customHeight="1">
      <c r="A21" s="42">
        <f t="shared" si="0"/>
        <v>15</v>
      </c>
      <c r="B21" s="41">
        <v>2024</v>
      </c>
      <c r="C21" s="75"/>
      <c r="D21" s="76">
        <v>45586</v>
      </c>
      <c r="E21" s="55" t="s">
        <v>495</v>
      </c>
      <c r="F21" s="55" t="s">
        <v>154</v>
      </c>
      <c r="G21" s="55" t="s">
        <v>496</v>
      </c>
      <c r="H21" s="77" t="s">
        <v>497</v>
      </c>
      <c r="I21" s="55" t="s">
        <v>221</v>
      </c>
      <c r="J21" s="86">
        <v>45586</v>
      </c>
    </row>
    <row r="22" spans="1:10" ht="24.95" customHeight="1">
      <c r="A22" s="42">
        <f t="shared" si="0"/>
        <v>16</v>
      </c>
      <c r="B22" s="41">
        <v>2024</v>
      </c>
      <c r="C22" s="75"/>
      <c r="D22" s="76">
        <v>45586</v>
      </c>
      <c r="E22" s="55" t="s">
        <v>109</v>
      </c>
      <c r="F22" s="55" t="s">
        <v>360</v>
      </c>
      <c r="G22" s="55" t="s">
        <v>193</v>
      </c>
      <c r="H22" s="77" t="s">
        <v>85</v>
      </c>
      <c r="I22" s="55" t="s">
        <v>463</v>
      </c>
      <c r="J22" s="86">
        <v>45586</v>
      </c>
    </row>
    <row r="23" spans="1:10" ht="24.95" customHeight="1">
      <c r="A23" s="42">
        <f t="shared" si="0"/>
        <v>17</v>
      </c>
      <c r="B23" s="41">
        <v>2024</v>
      </c>
      <c r="C23" s="75"/>
      <c r="D23" s="76">
        <v>45586</v>
      </c>
      <c r="E23" s="55" t="s">
        <v>498</v>
      </c>
      <c r="F23" s="55" t="s">
        <v>28</v>
      </c>
      <c r="G23" s="55" t="s">
        <v>90</v>
      </c>
      <c r="H23" s="77" t="s">
        <v>499</v>
      </c>
      <c r="I23" s="55" t="s">
        <v>221</v>
      </c>
      <c r="J23" s="86">
        <v>45586</v>
      </c>
    </row>
    <row r="24" spans="1:10" ht="24.95" customHeight="1">
      <c r="A24" s="42">
        <f t="shared" si="0"/>
        <v>18</v>
      </c>
      <c r="B24" s="41">
        <v>2024</v>
      </c>
      <c r="C24" s="75"/>
      <c r="D24" s="76">
        <v>45586</v>
      </c>
      <c r="E24" s="55" t="s">
        <v>498</v>
      </c>
      <c r="F24" s="55" t="s">
        <v>14</v>
      </c>
      <c r="G24" s="55" t="s">
        <v>500</v>
      </c>
      <c r="H24" s="77" t="s">
        <v>499</v>
      </c>
      <c r="I24" s="55" t="s">
        <v>221</v>
      </c>
      <c r="J24" s="86">
        <v>45586</v>
      </c>
    </row>
    <row r="25" spans="1:10" ht="24.95" customHeight="1">
      <c r="A25" s="42">
        <f t="shared" si="0"/>
        <v>19</v>
      </c>
      <c r="B25" s="41">
        <v>2024</v>
      </c>
      <c r="C25" s="75"/>
      <c r="D25" s="76">
        <v>45593</v>
      </c>
      <c r="E25" s="55" t="s">
        <v>501</v>
      </c>
      <c r="F25" s="55" t="s">
        <v>28</v>
      </c>
      <c r="G25" s="55" t="s">
        <v>502</v>
      </c>
      <c r="H25" s="77" t="s">
        <v>85</v>
      </c>
      <c r="I25" s="55" t="s">
        <v>221</v>
      </c>
      <c r="J25" s="86">
        <v>45593</v>
      </c>
    </row>
    <row r="26" spans="1:10" ht="24.95" customHeight="1">
      <c r="A26" s="42">
        <f t="shared" si="0"/>
        <v>20</v>
      </c>
      <c r="B26" s="41">
        <v>2024</v>
      </c>
      <c r="C26" s="75"/>
      <c r="D26" s="76">
        <v>45593</v>
      </c>
      <c r="E26" s="55" t="s">
        <v>501</v>
      </c>
      <c r="F26" s="55" t="s">
        <v>503</v>
      </c>
      <c r="G26" s="55" t="s">
        <v>504</v>
      </c>
      <c r="H26" s="77" t="s">
        <v>505</v>
      </c>
      <c r="I26" s="55" t="s">
        <v>452</v>
      </c>
      <c r="J26" s="86">
        <v>45593</v>
      </c>
    </row>
    <row r="27" spans="1:10" ht="24.95" customHeight="1">
      <c r="A27" s="42">
        <f t="shared" si="0"/>
        <v>21</v>
      </c>
      <c r="B27" s="41">
        <v>2024</v>
      </c>
      <c r="C27" s="75"/>
      <c r="D27" s="76">
        <v>45596</v>
      </c>
      <c r="E27" s="55" t="s">
        <v>506</v>
      </c>
      <c r="F27" s="55" t="s">
        <v>43</v>
      </c>
      <c r="G27" s="55" t="s">
        <v>507</v>
      </c>
      <c r="H27" s="77" t="s">
        <v>85</v>
      </c>
      <c r="I27" s="55" t="s">
        <v>221</v>
      </c>
      <c r="J27" s="86">
        <v>45596</v>
      </c>
    </row>
    <row r="28" spans="1:10" ht="24.95" customHeight="1">
      <c r="A28" s="42">
        <f t="shared" si="0"/>
        <v>22</v>
      </c>
      <c r="B28" s="41">
        <v>2024</v>
      </c>
      <c r="C28" s="75"/>
      <c r="D28" s="76">
        <v>45596</v>
      </c>
      <c r="E28" s="55" t="s">
        <v>506</v>
      </c>
      <c r="F28" s="55" t="s">
        <v>47</v>
      </c>
      <c r="G28" s="55" t="s">
        <v>508</v>
      </c>
      <c r="H28" s="77" t="s">
        <v>509</v>
      </c>
      <c r="I28" s="55" t="s">
        <v>452</v>
      </c>
      <c r="J28" s="86">
        <v>45596</v>
      </c>
    </row>
    <row r="29" spans="1:10" ht="24.95" customHeight="1">
      <c r="A29" s="42">
        <f t="shared" si="0"/>
        <v>23</v>
      </c>
      <c r="B29" s="41">
        <v>2024</v>
      </c>
      <c r="C29" s="75"/>
      <c r="D29" s="76">
        <v>45625</v>
      </c>
      <c r="E29" s="55" t="s">
        <v>487</v>
      </c>
      <c r="F29" s="55" t="s">
        <v>47</v>
      </c>
      <c r="G29" s="55" t="s">
        <v>510</v>
      </c>
      <c r="H29" s="77" t="s">
        <v>511</v>
      </c>
      <c r="I29" s="55" t="s">
        <v>262</v>
      </c>
      <c r="J29" s="86">
        <v>45625</v>
      </c>
    </row>
    <row r="30" spans="1:10" ht="24.95" customHeight="1">
      <c r="A30" s="42">
        <f t="shared" si="0"/>
        <v>24</v>
      </c>
      <c r="B30" s="41">
        <v>2024</v>
      </c>
      <c r="C30" s="75"/>
      <c r="D30" s="76">
        <v>45638</v>
      </c>
      <c r="E30" s="55" t="s">
        <v>512</v>
      </c>
      <c r="F30" s="55" t="s">
        <v>14</v>
      </c>
      <c r="G30" s="55" t="s">
        <v>513</v>
      </c>
      <c r="H30" s="77" t="s">
        <v>438</v>
      </c>
      <c r="I30" s="55" t="s">
        <v>221</v>
      </c>
      <c r="J30" s="86">
        <v>45638</v>
      </c>
    </row>
    <row r="31" spans="1:10" ht="24.95" customHeight="1" thickBot="1">
      <c r="A31" s="44">
        <f t="shared" si="0"/>
        <v>25</v>
      </c>
      <c r="B31" s="45">
        <v>2024</v>
      </c>
      <c r="C31" s="79"/>
      <c r="D31" s="80">
        <v>45638</v>
      </c>
      <c r="E31" s="81" t="s">
        <v>512</v>
      </c>
      <c r="F31" s="81" t="s">
        <v>14</v>
      </c>
      <c r="G31" s="81" t="s">
        <v>514</v>
      </c>
      <c r="H31" s="82" t="s">
        <v>438</v>
      </c>
      <c r="I31" s="81" t="s">
        <v>463</v>
      </c>
      <c r="J31" s="87">
        <v>45638</v>
      </c>
    </row>
  </sheetData>
  <mergeCells count="11">
    <mergeCell ref="J5:J6"/>
    <mergeCell ref="A3:J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5296A-BF2F-408D-8618-76F8BAA89476}">
  <dimension ref="A2:J27"/>
  <sheetViews>
    <sheetView showWhiteSpace="0" zoomScaleNormal="100" workbookViewId="0">
      <pane ySplit="6" topLeftCell="A7" activePane="bottomLeft" state="frozen"/>
      <selection pane="bottomLeft" activeCell="I17" sqref="I17"/>
    </sheetView>
  </sheetViews>
  <sheetFormatPr defaultRowHeight="16.5"/>
  <cols>
    <col min="1" max="2" width="5.625" customWidth="1"/>
    <col min="3" max="3" width="6.625" customWidth="1"/>
    <col min="4" max="4" width="12.625" customWidth="1"/>
    <col min="5" max="5" width="15.625" customWidth="1"/>
    <col min="6" max="6" width="8.625" customWidth="1"/>
    <col min="7" max="7" width="10.625" customWidth="1"/>
    <col min="8" max="8" width="30.625" customWidth="1"/>
    <col min="9" max="9" width="12.5" bestFit="1" customWidth="1"/>
    <col min="10" max="10" width="12.625" customWidth="1"/>
  </cols>
  <sheetData>
    <row r="2" spans="1:10">
      <c r="A2" s="1" t="s">
        <v>0</v>
      </c>
      <c r="B2" s="1"/>
      <c r="C2" s="1"/>
    </row>
    <row r="3" spans="1:10" ht="26.25">
      <c r="A3" s="156" t="s">
        <v>210</v>
      </c>
      <c r="B3" s="156"/>
      <c r="C3" s="156"/>
      <c r="D3" s="156"/>
      <c r="E3" s="156"/>
      <c r="F3" s="156"/>
      <c r="G3" s="156"/>
      <c r="H3" s="156"/>
      <c r="I3" s="156"/>
      <c r="J3" s="156"/>
    </row>
    <row r="4" spans="1:10" ht="17.25" thickBot="1">
      <c r="A4" s="22" t="s">
        <v>588</v>
      </c>
      <c r="B4" s="22"/>
      <c r="C4" s="2"/>
    </row>
    <row r="5" spans="1:10" ht="21.95" customHeight="1">
      <c r="A5" s="161" t="s">
        <v>2</v>
      </c>
      <c r="B5" s="163" t="s">
        <v>211</v>
      </c>
      <c r="C5" s="163" t="s">
        <v>33</v>
      </c>
      <c r="D5" s="163" t="s">
        <v>3</v>
      </c>
      <c r="E5" s="163" t="s">
        <v>4</v>
      </c>
      <c r="F5" s="163" t="s">
        <v>5</v>
      </c>
      <c r="G5" s="163" t="s">
        <v>6</v>
      </c>
      <c r="H5" s="163" t="s">
        <v>7</v>
      </c>
      <c r="I5" s="163" t="s">
        <v>8</v>
      </c>
      <c r="J5" s="159" t="s">
        <v>9</v>
      </c>
    </row>
    <row r="6" spans="1:10" ht="21.95" customHeight="1" thickBot="1">
      <c r="A6" s="162"/>
      <c r="B6" s="164"/>
      <c r="C6" s="164"/>
      <c r="D6" s="164"/>
      <c r="E6" s="164"/>
      <c r="F6" s="164"/>
      <c r="G6" s="164"/>
      <c r="H6" s="164"/>
      <c r="I6" s="164"/>
      <c r="J6" s="160"/>
    </row>
    <row r="7" spans="1:10" ht="24.95" customHeight="1" thickTop="1">
      <c r="A7" s="61">
        <f>ROW()-6</f>
        <v>1</v>
      </c>
      <c r="B7" s="62">
        <v>2025</v>
      </c>
      <c r="C7" s="97"/>
      <c r="D7" s="64">
        <v>45698</v>
      </c>
      <c r="E7" s="65" t="s">
        <v>534</v>
      </c>
      <c r="F7" s="65" t="s">
        <v>126</v>
      </c>
      <c r="G7" s="65" t="s">
        <v>516</v>
      </c>
      <c r="H7" s="66" t="s">
        <v>497</v>
      </c>
      <c r="I7" s="65" t="s">
        <v>494</v>
      </c>
      <c r="J7" s="67">
        <v>45698</v>
      </c>
    </row>
    <row r="8" spans="1:10" ht="24.95" customHeight="1">
      <c r="A8" s="42">
        <f t="shared" ref="A8:A27" si="0">ROW()-6</f>
        <v>2</v>
      </c>
      <c r="B8" s="41">
        <v>2025</v>
      </c>
      <c r="C8" s="75"/>
      <c r="D8" s="76">
        <v>45698</v>
      </c>
      <c r="E8" s="55" t="s">
        <v>533</v>
      </c>
      <c r="F8" s="55" t="s">
        <v>126</v>
      </c>
      <c r="G8" s="55" t="s">
        <v>517</v>
      </c>
      <c r="H8" s="77" t="s">
        <v>497</v>
      </c>
      <c r="I8" s="55" t="s">
        <v>494</v>
      </c>
      <c r="J8" s="86">
        <v>45698</v>
      </c>
    </row>
    <row r="9" spans="1:10" ht="24.95" customHeight="1">
      <c r="A9" s="42">
        <f t="shared" si="0"/>
        <v>3</v>
      </c>
      <c r="B9" s="41">
        <v>2025</v>
      </c>
      <c r="C9" s="75"/>
      <c r="D9" s="76">
        <v>45698</v>
      </c>
      <c r="E9" s="55" t="s">
        <v>515</v>
      </c>
      <c r="F9" s="55" t="s">
        <v>43</v>
      </c>
      <c r="G9" s="55" t="s">
        <v>518</v>
      </c>
      <c r="H9" s="77" t="s">
        <v>497</v>
      </c>
      <c r="I9" s="55" t="s">
        <v>494</v>
      </c>
      <c r="J9" s="86">
        <v>45698</v>
      </c>
    </row>
    <row r="10" spans="1:10" ht="24.95" customHeight="1">
      <c r="A10" s="42">
        <f t="shared" si="0"/>
        <v>4</v>
      </c>
      <c r="B10" s="41">
        <v>2025</v>
      </c>
      <c r="C10" s="75"/>
      <c r="D10" s="76">
        <v>45698</v>
      </c>
      <c r="E10" s="55" t="s">
        <v>519</v>
      </c>
      <c r="F10" s="55" t="s">
        <v>37</v>
      </c>
      <c r="G10" s="55" t="s">
        <v>520</v>
      </c>
      <c r="H10" s="77" t="s">
        <v>521</v>
      </c>
      <c r="I10" s="55" t="s">
        <v>221</v>
      </c>
      <c r="J10" s="86">
        <v>45698</v>
      </c>
    </row>
    <row r="11" spans="1:10" ht="24.95" customHeight="1">
      <c r="A11" s="119">
        <f t="shared" si="0"/>
        <v>5</v>
      </c>
      <c r="B11" s="120">
        <v>2025</v>
      </c>
      <c r="C11" s="121" t="s">
        <v>34</v>
      </c>
      <c r="D11" s="122">
        <v>45771</v>
      </c>
      <c r="E11" s="123" t="s">
        <v>522</v>
      </c>
      <c r="F11" s="123" t="s">
        <v>28</v>
      </c>
      <c r="G11" s="123" t="s">
        <v>523</v>
      </c>
      <c r="H11" s="124" t="s">
        <v>365</v>
      </c>
      <c r="I11" s="123" t="s">
        <v>221</v>
      </c>
      <c r="J11" s="125">
        <v>45775</v>
      </c>
    </row>
    <row r="12" spans="1:10" ht="24.95" customHeight="1">
      <c r="A12" s="119">
        <f t="shared" si="0"/>
        <v>6</v>
      </c>
      <c r="B12" s="120">
        <v>2025</v>
      </c>
      <c r="C12" s="121" t="s">
        <v>34</v>
      </c>
      <c r="D12" s="122">
        <v>45771</v>
      </c>
      <c r="E12" s="123" t="s">
        <v>522</v>
      </c>
      <c r="F12" s="123" t="s">
        <v>89</v>
      </c>
      <c r="G12" s="123" t="s">
        <v>524</v>
      </c>
      <c r="H12" s="124" t="s">
        <v>481</v>
      </c>
      <c r="I12" s="123" t="s">
        <v>452</v>
      </c>
      <c r="J12" s="125">
        <v>45775</v>
      </c>
    </row>
    <row r="13" spans="1:10" ht="24.95" customHeight="1">
      <c r="A13" s="119">
        <f t="shared" si="0"/>
        <v>7</v>
      </c>
      <c r="B13" s="120">
        <v>2025</v>
      </c>
      <c r="C13" s="121" t="s">
        <v>34</v>
      </c>
      <c r="D13" s="122">
        <v>45771</v>
      </c>
      <c r="E13" s="123" t="s">
        <v>522</v>
      </c>
      <c r="F13" s="123" t="s">
        <v>154</v>
      </c>
      <c r="G13" s="123" t="s">
        <v>525</v>
      </c>
      <c r="H13" s="124" t="s">
        <v>481</v>
      </c>
      <c r="I13" s="123" t="s">
        <v>221</v>
      </c>
      <c r="J13" s="125">
        <v>45775</v>
      </c>
    </row>
    <row r="14" spans="1:10" ht="24.95" customHeight="1">
      <c r="A14" s="42">
        <f t="shared" si="0"/>
        <v>8</v>
      </c>
      <c r="B14" s="41">
        <v>2025</v>
      </c>
      <c r="C14" s="75"/>
      <c r="D14" s="76">
        <v>45800</v>
      </c>
      <c r="E14" s="55" t="s">
        <v>526</v>
      </c>
      <c r="F14" s="55" t="s">
        <v>28</v>
      </c>
      <c r="G14" s="55" t="s">
        <v>527</v>
      </c>
      <c r="H14" s="77" t="s">
        <v>365</v>
      </c>
      <c r="I14" s="55" t="s">
        <v>494</v>
      </c>
      <c r="J14" s="86">
        <v>45800</v>
      </c>
    </row>
    <row r="15" spans="1:10" ht="24.95" customHeight="1">
      <c r="A15" s="42">
        <f t="shared" si="0"/>
        <v>9</v>
      </c>
      <c r="B15" s="41">
        <v>2025</v>
      </c>
      <c r="C15" s="75"/>
      <c r="D15" s="76">
        <v>45800</v>
      </c>
      <c r="E15" s="55" t="s">
        <v>526</v>
      </c>
      <c r="F15" s="55" t="s">
        <v>89</v>
      </c>
      <c r="G15" s="55" t="s">
        <v>528</v>
      </c>
      <c r="H15" s="77" t="s">
        <v>530</v>
      </c>
      <c r="I15" s="55" t="s">
        <v>221</v>
      </c>
      <c r="J15" s="86">
        <v>45800</v>
      </c>
    </row>
    <row r="16" spans="1:10" ht="24.95" customHeight="1">
      <c r="A16" s="42">
        <f t="shared" si="0"/>
        <v>10</v>
      </c>
      <c r="B16" s="41">
        <v>2025</v>
      </c>
      <c r="C16" s="75"/>
      <c r="D16" s="76">
        <v>45800</v>
      </c>
      <c r="E16" s="55" t="s">
        <v>526</v>
      </c>
      <c r="F16" s="55" t="s">
        <v>14</v>
      </c>
      <c r="G16" s="55" t="s">
        <v>529</v>
      </c>
      <c r="H16" s="77" t="s">
        <v>530</v>
      </c>
      <c r="I16" s="55" t="s">
        <v>221</v>
      </c>
      <c r="J16" s="86">
        <v>45800</v>
      </c>
    </row>
    <row r="17" spans="1:10" ht="24.95" customHeight="1">
      <c r="A17" s="119">
        <f t="shared" si="0"/>
        <v>11</v>
      </c>
      <c r="B17" s="120">
        <v>2025</v>
      </c>
      <c r="C17" s="121"/>
      <c r="D17" s="122">
        <v>45800</v>
      </c>
      <c r="E17" s="123" t="s">
        <v>444</v>
      </c>
      <c r="F17" s="123" t="s">
        <v>50</v>
      </c>
      <c r="G17" s="123" t="s">
        <v>531</v>
      </c>
      <c r="H17" s="124" t="s">
        <v>532</v>
      </c>
      <c r="I17" s="123" t="s">
        <v>452</v>
      </c>
      <c r="J17" s="125">
        <v>45800</v>
      </c>
    </row>
    <row r="18" spans="1:10" ht="24.95" customHeight="1">
      <c r="A18" s="42">
        <f t="shared" si="0"/>
        <v>12</v>
      </c>
      <c r="B18" s="41">
        <v>2025</v>
      </c>
      <c r="C18" s="75"/>
      <c r="D18" s="76">
        <v>45800</v>
      </c>
      <c r="E18" s="55" t="s">
        <v>535</v>
      </c>
      <c r="F18" s="55" t="s">
        <v>50</v>
      </c>
      <c r="G18" s="55" t="s">
        <v>286</v>
      </c>
      <c r="H18" s="77" t="s">
        <v>536</v>
      </c>
      <c r="I18" s="55" t="s">
        <v>452</v>
      </c>
      <c r="J18" s="86">
        <v>45800</v>
      </c>
    </row>
    <row r="19" spans="1:10" ht="24.95" customHeight="1">
      <c r="A19" s="42">
        <f t="shared" si="0"/>
        <v>13</v>
      </c>
      <c r="B19" s="41">
        <v>2025</v>
      </c>
      <c r="C19" s="75"/>
      <c r="D19" s="76">
        <v>45800</v>
      </c>
      <c r="E19" s="55" t="s">
        <v>537</v>
      </c>
      <c r="F19" s="55" t="s">
        <v>50</v>
      </c>
      <c r="G19" s="55" t="s">
        <v>538</v>
      </c>
      <c r="H19" s="77" t="s">
        <v>497</v>
      </c>
      <c r="I19" s="55" t="s">
        <v>494</v>
      </c>
      <c r="J19" s="86">
        <v>45800</v>
      </c>
    </row>
    <row r="20" spans="1:10" ht="24.95" customHeight="1">
      <c r="A20" s="119">
        <f t="shared" si="0"/>
        <v>14</v>
      </c>
      <c r="B20" s="120">
        <v>2025</v>
      </c>
      <c r="C20" s="121" t="s">
        <v>34</v>
      </c>
      <c r="D20" s="122">
        <v>45862</v>
      </c>
      <c r="E20" s="123" t="s">
        <v>539</v>
      </c>
      <c r="F20" s="123" t="s">
        <v>43</v>
      </c>
      <c r="G20" s="123" t="s">
        <v>540</v>
      </c>
      <c r="H20" s="124" t="s">
        <v>544</v>
      </c>
      <c r="I20" s="123" t="s">
        <v>550</v>
      </c>
      <c r="J20" s="125">
        <v>45901</v>
      </c>
    </row>
    <row r="21" spans="1:10" ht="24.95" customHeight="1">
      <c r="A21" s="119">
        <f t="shared" si="0"/>
        <v>15</v>
      </c>
      <c r="B21" s="120">
        <v>2025</v>
      </c>
      <c r="C21" s="121" t="s">
        <v>34</v>
      </c>
      <c r="D21" s="122">
        <v>45862</v>
      </c>
      <c r="E21" s="123" t="s">
        <v>539</v>
      </c>
      <c r="F21" s="123" t="s">
        <v>37</v>
      </c>
      <c r="G21" s="123" t="s">
        <v>541</v>
      </c>
      <c r="H21" s="124" t="s">
        <v>544</v>
      </c>
      <c r="I21" s="123" t="s">
        <v>452</v>
      </c>
      <c r="J21" s="125">
        <v>45901</v>
      </c>
    </row>
    <row r="22" spans="1:10" ht="24.95" customHeight="1">
      <c r="A22" s="119">
        <f t="shared" si="0"/>
        <v>16</v>
      </c>
      <c r="B22" s="120">
        <v>2025</v>
      </c>
      <c r="C22" s="121" t="s">
        <v>34</v>
      </c>
      <c r="D22" s="122">
        <v>45862</v>
      </c>
      <c r="E22" s="123" t="s">
        <v>539</v>
      </c>
      <c r="F22" s="123" t="s">
        <v>14</v>
      </c>
      <c r="G22" s="123" t="s">
        <v>542</v>
      </c>
      <c r="H22" s="124" t="s">
        <v>545</v>
      </c>
      <c r="I22" s="123" t="s">
        <v>253</v>
      </c>
      <c r="J22" s="125">
        <v>45901</v>
      </c>
    </row>
    <row r="23" spans="1:10" ht="24.95" customHeight="1">
      <c r="A23" s="119">
        <f t="shared" si="0"/>
        <v>17</v>
      </c>
      <c r="B23" s="120">
        <v>2025</v>
      </c>
      <c r="C23" s="121" t="s">
        <v>34</v>
      </c>
      <c r="D23" s="122">
        <v>45862</v>
      </c>
      <c r="E23" s="123" t="s">
        <v>539</v>
      </c>
      <c r="F23" s="123" t="s">
        <v>14</v>
      </c>
      <c r="G23" s="123" t="s">
        <v>543</v>
      </c>
      <c r="H23" s="124" t="s">
        <v>530</v>
      </c>
      <c r="I23" s="123" t="s">
        <v>253</v>
      </c>
      <c r="J23" s="125">
        <v>45901</v>
      </c>
    </row>
    <row r="24" spans="1:10" ht="24.95" customHeight="1">
      <c r="A24" s="42">
        <f t="shared" si="0"/>
        <v>18</v>
      </c>
      <c r="B24" s="41">
        <v>2025</v>
      </c>
      <c r="C24" s="75"/>
      <c r="D24" s="76">
        <v>45867</v>
      </c>
      <c r="E24" s="55" t="s">
        <v>534</v>
      </c>
      <c r="F24" s="55" t="s">
        <v>50</v>
      </c>
      <c r="G24" s="55" t="s">
        <v>135</v>
      </c>
      <c r="H24" s="77" t="s">
        <v>547</v>
      </c>
      <c r="I24" s="51" t="s">
        <v>17</v>
      </c>
      <c r="J24" s="86">
        <v>45867</v>
      </c>
    </row>
    <row r="25" spans="1:10" ht="24.95" customHeight="1">
      <c r="A25" s="42">
        <f t="shared" si="0"/>
        <v>19</v>
      </c>
      <c r="B25" s="41">
        <v>2025</v>
      </c>
      <c r="C25" s="75"/>
      <c r="D25" s="98">
        <v>45880</v>
      </c>
      <c r="E25" s="55" t="s">
        <v>537</v>
      </c>
      <c r="F25" s="55" t="s">
        <v>360</v>
      </c>
      <c r="G25" s="55" t="s">
        <v>548</v>
      </c>
      <c r="H25" s="77" t="s">
        <v>549</v>
      </c>
      <c r="I25" s="101" t="s">
        <v>463</v>
      </c>
      <c r="J25" s="103">
        <v>45880</v>
      </c>
    </row>
    <row r="26" spans="1:10" ht="24.95" customHeight="1">
      <c r="A26" s="42">
        <f t="shared" si="0"/>
        <v>20</v>
      </c>
      <c r="B26" s="41">
        <v>2025</v>
      </c>
      <c r="C26" s="75"/>
      <c r="D26" s="98">
        <v>45880</v>
      </c>
      <c r="E26" s="55" t="s">
        <v>537</v>
      </c>
      <c r="F26" s="55" t="s">
        <v>50</v>
      </c>
      <c r="G26" s="55" t="s">
        <v>538</v>
      </c>
      <c r="H26" s="77" t="s">
        <v>549</v>
      </c>
      <c r="I26" s="101" t="s">
        <v>221</v>
      </c>
      <c r="J26" s="103">
        <v>45880</v>
      </c>
    </row>
    <row r="27" spans="1:10" s="144" customFormat="1" ht="24.95" customHeight="1" thickBot="1">
      <c r="A27" s="127">
        <f t="shared" si="0"/>
        <v>21</v>
      </c>
      <c r="B27" s="128">
        <v>2025</v>
      </c>
      <c r="C27" s="129" t="s">
        <v>34</v>
      </c>
      <c r="D27" s="130">
        <v>45903</v>
      </c>
      <c r="E27" s="131" t="s">
        <v>539</v>
      </c>
      <c r="F27" s="131" t="s">
        <v>14</v>
      </c>
      <c r="G27" s="131" t="s">
        <v>543</v>
      </c>
      <c r="H27" s="132" t="s">
        <v>551</v>
      </c>
      <c r="I27" s="131" t="s">
        <v>552</v>
      </c>
      <c r="J27" s="133">
        <v>45903</v>
      </c>
    </row>
  </sheetData>
  <mergeCells count="11">
    <mergeCell ref="J5:J6"/>
    <mergeCell ref="A3:J3"/>
    <mergeCell ref="A5:A6"/>
    <mergeCell ref="B5:B6"/>
    <mergeCell ref="C5:C6"/>
    <mergeCell ref="D5:D6"/>
    <mergeCell ref="E5:E6"/>
    <mergeCell ref="F5:F6"/>
    <mergeCell ref="G5:G6"/>
    <mergeCell ref="H5:H6"/>
    <mergeCell ref="I5:I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2:U206"/>
  <sheetViews>
    <sheetView tabSelected="1" showWhiteSpace="0" zoomScaleNormal="100" workbookViewId="0">
      <pane ySplit="8" topLeftCell="A195" activePane="bottomLeft" state="frozen"/>
      <selection pane="bottomLeft" activeCell="N202" sqref="N202"/>
    </sheetView>
  </sheetViews>
  <sheetFormatPr defaultRowHeight="16.5"/>
  <cols>
    <col min="1" max="2" width="5.625" customWidth="1"/>
    <col min="3" max="3" width="6.625" customWidth="1"/>
    <col min="4" max="4" width="12.625" customWidth="1"/>
    <col min="5" max="5" width="15.625" customWidth="1"/>
    <col min="6" max="6" width="8.625" customWidth="1"/>
    <col min="7" max="7" width="10.625" customWidth="1"/>
    <col min="8" max="8" width="30.625" customWidth="1"/>
    <col min="9" max="9" width="12.5" bestFit="1" customWidth="1"/>
    <col min="10" max="10" width="12.625" customWidth="1"/>
  </cols>
  <sheetData>
    <row r="2" spans="1:21">
      <c r="A2" s="1" t="s">
        <v>0</v>
      </c>
      <c r="B2" s="1"/>
      <c r="C2" s="1"/>
    </row>
    <row r="3" spans="1:21" ht="26.25">
      <c r="A3" s="156" t="s">
        <v>210</v>
      </c>
      <c r="B3" s="156"/>
      <c r="C3" s="156"/>
      <c r="D3" s="156"/>
      <c r="E3" s="156"/>
      <c r="F3" s="156"/>
      <c r="G3" s="156"/>
      <c r="H3" s="156"/>
      <c r="I3" s="156"/>
      <c r="J3" s="156"/>
    </row>
    <row r="4" spans="1:21" ht="17.25" thickBot="1">
      <c r="A4" s="22" t="s">
        <v>212</v>
      </c>
      <c r="B4" s="22"/>
      <c r="C4" s="2"/>
    </row>
    <row r="5" spans="1:21" ht="21.95" customHeight="1" thickBot="1">
      <c r="A5" s="161" t="s">
        <v>2</v>
      </c>
      <c r="B5" s="163" t="s">
        <v>211</v>
      </c>
      <c r="C5" s="163" t="s">
        <v>33</v>
      </c>
      <c r="D5" s="163" t="s">
        <v>3</v>
      </c>
      <c r="E5" s="163" t="s">
        <v>4</v>
      </c>
      <c r="F5" s="163" t="s">
        <v>5</v>
      </c>
      <c r="G5" s="163" t="s">
        <v>6</v>
      </c>
      <c r="H5" s="163" t="s">
        <v>7</v>
      </c>
      <c r="I5" s="163" t="s">
        <v>8</v>
      </c>
      <c r="J5" s="159" t="s">
        <v>9</v>
      </c>
      <c r="L5" s="135" t="s">
        <v>458</v>
      </c>
      <c r="M5" s="136" t="s">
        <v>459</v>
      </c>
      <c r="N5" s="136" t="s">
        <v>463</v>
      </c>
      <c r="O5" s="136" t="s">
        <v>460</v>
      </c>
      <c r="P5" s="136" t="s">
        <v>461</v>
      </c>
      <c r="Q5" s="136" t="s">
        <v>462</v>
      </c>
      <c r="R5" s="136" t="s">
        <v>253</v>
      </c>
      <c r="S5" s="136" t="s">
        <v>489</v>
      </c>
      <c r="T5" s="136" t="s">
        <v>262</v>
      </c>
      <c r="U5" s="137" t="s">
        <v>546</v>
      </c>
    </row>
    <row r="6" spans="1:21" ht="21.95" customHeight="1" thickBot="1">
      <c r="A6" s="162"/>
      <c r="B6" s="164"/>
      <c r="C6" s="164"/>
      <c r="D6" s="164"/>
      <c r="E6" s="164"/>
      <c r="F6" s="164"/>
      <c r="G6" s="164"/>
      <c r="H6" s="164"/>
      <c r="I6" s="164"/>
      <c r="J6" s="160"/>
      <c r="L6" s="135">
        <f>SUMIF($I$8:$I$206,"훈계*",$K$8:$K$206)</f>
        <v>1</v>
      </c>
      <c r="M6" s="136">
        <f>SUMIF($I$8:$I$206,"견책*",$K$8:$K$206)</f>
        <v>56</v>
      </c>
      <c r="N6" s="136">
        <f>SUMIF($I$8:$I$206,"경고*",$K$8:$K$206)</f>
        <v>69</v>
      </c>
      <c r="O6" s="136">
        <f>SUMIF($I$8:$I$206,"감봉*",$K$8:$K$206)</f>
        <v>36</v>
      </c>
      <c r="P6" s="136">
        <f>SUMIF($I$8:$I$206,"강등*",$K$8:$K$206)</f>
        <v>4</v>
      </c>
      <c r="Q6" s="136">
        <f>SUMIF($I$8:$I$206,"정직*",$K$8:$K$206)</f>
        <v>3</v>
      </c>
      <c r="R6" s="136">
        <f>SUMIF($I$8:$I$206,"해고*",$K$8:$K$206)</f>
        <v>11</v>
      </c>
      <c r="S6" s="136">
        <f>SUMIF($I$8:$I$206,"전배*",$K$8:$K$206)</f>
        <v>1</v>
      </c>
      <c r="T6" s="136">
        <f>SUMIF($I$8:$I$206,"권고사직*",$K$8:$K$206)</f>
        <v>10</v>
      </c>
      <c r="U6" s="137">
        <f>SUM(L6:T6)</f>
        <v>191</v>
      </c>
    </row>
    <row r="7" spans="1:21" ht="21.95" customHeight="1" thickTop="1">
      <c r="A7" s="88"/>
      <c r="B7" s="89"/>
      <c r="C7" s="89"/>
      <c r="D7" s="89"/>
      <c r="E7" s="89"/>
      <c r="F7" s="89"/>
      <c r="G7" s="89"/>
      <c r="H7" s="89"/>
      <c r="I7" s="89"/>
      <c r="J7" s="90"/>
    </row>
    <row r="8" spans="1:21" ht="24.95" hidden="1" customHeight="1">
      <c r="A8" s="50">
        <f>ROW()-7</f>
        <v>1</v>
      </c>
      <c r="B8" s="51">
        <v>2018</v>
      </c>
      <c r="C8" s="51" t="s">
        <v>34</v>
      </c>
      <c r="D8" s="52">
        <v>43158</v>
      </c>
      <c r="E8" s="51" t="s">
        <v>13</v>
      </c>
      <c r="F8" s="51" t="s">
        <v>14</v>
      </c>
      <c r="G8" s="51" t="s">
        <v>15</v>
      </c>
      <c r="H8" s="53" t="s">
        <v>16</v>
      </c>
      <c r="I8" s="51" t="s">
        <v>17</v>
      </c>
      <c r="J8" s="54">
        <v>43158</v>
      </c>
      <c r="K8">
        <v>1</v>
      </c>
    </row>
    <row r="9" spans="1:21" ht="24.95" hidden="1" customHeight="1">
      <c r="A9" s="42">
        <f t="shared" ref="A9:A72" si="0">ROW()-7</f>
        <v>2</v>
      </c>
      <c r="B9" s="38">
        <v>2018</v>
      </c>
      <c r="C9" s="38" t="s">
        <v>35</v>
      </c>
      <c r="D9" s="39">
        <v>43270</v>
      </c>
      <c r="E9" s="38" t="s">
        <v>18</v>
      </c>
      <c r="F9" s="38" t="s">
        <v>14</v>
      </c>
      <c r="G9" s="38" t="s">
        <v>21</v>
      </c>
      <c r="H9" s="40" t="s">
        <v>22</v>
      </c>
      <c r="I9" s="38" t="s">
        <v>24</v>
      </c>
      <c r="J9" s="43">
        <v>43270</v>
      </c>
      <c r="K9">
        <v>1</v>
      </c>
    </row>
    <row r="10" spans="1:21" ht="24.95" hidden="1" customHeight="1">
      <c r="A10" s="42">
        <f t="shared" si="0"/>
        <v>3</v>
      </c>
      <c r="B10" s="38">
        <v>2018</v>
      </c>
      <c r="C10" s="38" t="s">
        <v>35</v>
      </c>
      <c r="D10" s="39">
        <v>43270</v>
      </c>
      <c r="E10" s="38" t="s">
        <v>18</v>
      </c>
      <c r="F10" s="38" t="s">
        <v>19</v>
      </c>
      <c r="G10" s="38" t="s">
        <v>20</v>
      </c>
      <c r="H10" s="40" t="s">
        <v>23</v>
      </c>
      <c r="I10" s="38" t="s">
        <v>25</v>
      </c>
      <c r="J10" s="43">
        <v>43270</v>
      </c>
      <c r="K10">
        <v>1</v>
      </c>
    </row>
    <row r="11" spans="1:21" ht="24.95" hidden="1" customHeight="1">
      <c r="A11" s="42">
        <f t="shared" si="0"/>
        <v>4</v>
      </c>
      <c r="B11" s="38">
        <v>2018</v>
      </c>
      <c r="C11" s="38" t="s">
        <v>35</v>
      </c>
      <c r="D11" s="39">
        <v>43270</v>
      </c>
      <c r="E11" s="38" t="s">
        <v>26</v>
      </c>
      <c r="F11" s="38" t="s">
        <v>14</v>
      </c>
      <c r="G11" s="38" t="s">
        <v>27</v>
      </c>
      <c r="H11" s="40" t="s">
        <v>31</v>
      </c>
      <c r="I11" s="38" t="s">
        <v>30</v>
      </c>
      <c r="J11" s="43">
        <v>43270</v>
      </c>
      <c r="K11">
        <v>1</v>
      </c>
    </row>
    <row r="12" spans="1:21" ht="24.95" hidden="1" customHeight="1">
      <c r="A12" s="42">
        <f t="shared" si="0"/>
        <v>5</v>
      </c>
      <c r="B12" s="38">
        <v>2018</v>
      </c>
      <c r="C12" s="38" t="s">
        <v>35</v>
      </c>
      <c r="D12" s="39">
        <v>43270</v>
      </c>
      <c r="E12" s="38" t="s">
        <v>26</v>
      </c>
      <c r="F12" s="38" t="s">
        <v>28</v>
      </c>
      <c r="G12" s="38" t="s">
        <v>29</v>
      </c>
      <c r="H12" s="40" t="s">
        <v>32</v>
      </c>
      <c r="I12" s="38" t="s">
        <v>25</v>
      </c>
      <c r="J12" s="43">
        <v>43270</v>
      </c>
      <c r="K12">
        <v>1</v>
      </c>
    </row>
    <row r="13" spans="1:21" ht="24.95" hidden="1" customHeight="1">
      <c r="A13" s="42">
        <f t="shared" si="0"/>
        <v>6</v>
      </c>
      <c r="B13" s="38">
        <v>2018</v>
      </c>
      <c r="C13" s="38" t="s">
        <v>34</v>
      </c>
      <c r="D13" s="39">
        <v>43328</v>
      </c>
      <c r="E13" s="38" t="s">
        <v>36</v>
      </c>
      <c r="F13" s="38" t="s">
        <v>37</v>
      </c>
      <c r="G13" s="38" t="s">
        <v>38</v>
      </c>
      <c r="H13" s="40" t="s">
        <v>40</v>
      </c>
      <c r="I13" s="38" t="s">
        <v>17</v>
      </c>
      <c r="J13" s="43">
        <v>43328</v>
      </c>
      <c r="K13">
        <v>1</v>
      </c>
    </row>
    <row r="14" spans="1:21" ht="24.95" hidden="1" customHeight="1">
      <c r="A14" s="42">
        <f t="shared" si="0"/>
        <v>7</v>
      </c>
      <c r="B14" s="38">
        <v>2018</v>
      </c>
      <c r="C14" s="38" t="s">
        <v>34</v>
      </c>
      <c r="D14" s="39">
        <v>43328</v>
      </c>
      <c r="E14" s="38" t="s">
        <v>36</v>
      </c>
      <c r="F14" s="38" t="s">
        <v>37</v>
      </c>
      <c r="G14" s="38" t="s">
        <v>39</v>
      </c>
      <c r="H14" s="40" t="s">
        <v>40</v>
      </c>
      <c r="I14" s="38" t="s">
        <v>41</v>
      </c>
      <c r="J14" s="43">
        <v>43328</v>
      </c>
      <c r="K14">
        <v>1</v>
      </c>
    </row>
    <row r="15" spans="1:21" ht="24.95" hidden="1" customHeight="1">
      <c r="A15" s="42">
        <f t="shared" si="0"/>
        <v>8</v>
      </c>
      <c r="B15" s="38">
        <v>2018</v>
      </c>
      <c r="C15" s="38" t="s">
        <v>35</v>
      </c>
      <c r="D15" s="39">
        <v>43355</v>
      </c>
      <c r="E15" s="38" t="s">
        <v>42</v>
      </c>
      <c r="F15" s="38" t="s">
        <v>43</v>
      </c>
      <c r="G15" s="38" t="s">
        <v>44</v>
      </c>
      <c r="H15" s="40" t="s">
        <v>22</v>
      </c>
      <c r="I15" s="38" t="s">
        <v>30</v>
      </c>
      <c r="J15" s="43">
        <v>43355</v>
      </c>
      <c r="K15">
        <v>1</v>
      </c>
    </row>
    <row r="16" spans="1:21" ht="24.95" hidden="1" customHeight="1">
      <c r="A16" s="42">
        <f t="shared" si="0"/>
        <v>9</v>
      </c>
      <c r="B16" s="38">
        <v>2018</v>
      </c>
      <c r="C16" s="38" t="s">
        <v>35</v>
      </c>
      <c r="D16" s="39">
        <v>43363</v>
      </c>
      <c r="E16" s="38" t="s">
        <v>45</v>
      </c>
      <c r="F16" s="38" t="s">
        <v>14</v>
      </c>
      <c r="G16" s="38" t="s">
        <v>46</v>
      </c>
      <c r="H16" s="40" t="s">
        <v>52</v>
      </c>
      <c r="I16" s="38" t="s">
        <v>30</v>
      </c>
      <c r="J16" s="43">
        <v>43363</v>
      </c>
      <c r="K16">
        <v>1</v>
      </c>
    </row>
    <row r="17" spans="1:11" ht="24.95" hidden="1" customHeight="1">
      <c r="A17" s="42">
        <f t="shared" si="0"/>
        <v>10</v>
      </c>
      <c r="B17" s="38">
        <v>2018</v>
      </c>
      <c r="C17" s="38" t="s">
        <v>35</v>
      </c>
      <c r="D17" s="39">
        <v>43363</v>
      </c>
      <c r="E17" s="38" t="s">
        <v>45</v>
      </c>
      <c r="F17" s="38" t="s">
        <v>47</v>
      </c>
      <c r="G17" s="38" t="s">
        <v>48</v>
      </c>
      <c r="H17" s="40" t="s">
        <v>52</v>
      </c>
      <c r="I17" s="38" t="s">
        <v>30</v>
      </c>
      <c r="J17" s="43">
        <v>43363</v>
      </c>
      <c r="K17">
        <v>1</v>
      </c>
    </row>
    <row r="18" spans="1:11" ht="24.95" hidden="1" customHeight="1">
      <c r="A18" s="42">
        <f t="shared" si="0"/>
        <v>11</v>
      </c>
      <c r="B18" s="38">
        <v>2018</v>
      </c>
      <c r="C18" s="38" t="s">
        <v>35</v>
      </c>
      <c r="D18" s="39">
        <v>43363</v>
      </c>
      <c r="E18" s="38" t="s">
        <v>45</v>
      </c>
      <c r="F18" s="38" t="s">
        <v>43</v>
      </c>
      <c r="G18" s="38" t="s">
        <v>49</v>
      </c>
      <c r="H18" s="40" t="s">
        <v>53</v>
      </c>
      <c r="I18" s="38" t="s">
        <v>25</v>
      </c>
      <c r="J18" s="43">
        <v>43363</v>
      </c>
      <c r="K18">
        <v>1</v>
      </c>
    </row>
    <row r="19" spans="1:11" ht="24.95" hidden="1" customHeight="1">
      <c r="A19" s="42">
        <f t="shared" si="0"/>
        <v>12</v>
      </c>
      <c r="B19" s="38">
        <v>2018</v>
      </c>
      <c r="C19" s="38" t="s">
        <v>35</v>
      </c>
      <c r="D19" s="39">
        <v>43363</v>
      </c>
      <c r="E19" s="38" t="s">
        <v>45</v>
      </c>
      <c r="F19" s="38" t="s">
        <v>50</v>
      </c>
      <c r="G19" s="38" t="s">
        <v>51</v>
      </c>
      <c r="H19" s="40" t="s">
        <v>53</v>
      </c>
      <c r="I19" s="38" t="s">
        <v>25</v>
      </c>
      <c r="J19" s="43">
        <v>43363</v>
      </c>
      <c r="K19">
        <v>1</v>
      </c>
    </row>
    <row r="20" spans="1:11" ht="24.95" hidden="1" customHeight="1">
      <c r="A20" s="42">
        <f t="shared" si="0"/>
        <v>13</v>
      </c>
      <c r="B20" s="38">
        <v>2018</v>
      </c>
      <c r="C20" s="38" t="s">
        <v>34</v>
      </c>
      <c r="D20" s="39">
        <v>43399</v>
      </c>
      <c r="E20" s="38" t="s">
        <v>54</v>
      </c>
      <c r="F20" s="38" t="s">
        <v>55</v>
      </c>
      <c r="G20" s="38" t="s">
        <v>56</v>
      </c>
      <c r="H20" s="40" t="s">
        <v>58</v>
      </c>
      <c r="I20" s="38" t="s">
        <v>189</v>
      </c>
      <c r="J20" s="43">
        <v>43399</v>
      </c>
      <c r="K20">
        <v>1</v>
      </c>
    </row>
    <row r="21" spans="1:11" ht="24.95" hidden="1" customHeight="1" thickBot="1">
      <c r="A21" s="56">
        <f t="shared" si="0"/>
        <v>14</v>
      </c>
      <c r="B21" s="57">
        <v>2018</v>
      </c>
      <c r="C21" s="57" t="s">
        <v>34</v>
      </c>
      <c r="D21" s="58">
        <v>43399</v>
      </c>
      <c r="E21" s="57" t="s">
        <v>54</v>
      </c>
      <c r="F21" s="57" t="s">
        <v>14</v>
      </c>
      <c r="G21" s="57" t="s">
        <v>57</v>
      </c>
      <c r="H21" s="59" t="s">
        <v>58</v>
      </c>
      <c r="I21" s="57" t="s">
        <v>189</v>
      </c>
      <c r="J21" s="60">
        <v>43399</v>
      </c>
      <c r="K21">
        <v>1</v>
      </c>
    </row>
    <row r="22" spans="1:11" ht="24.95" hidden="1" customHeight="1">
      <c r="A22" s="61">
        <f t="shared" si="0"/>
        <v>15</v>
      </c>
      <c r="B22" s="71">
        <v>2019</v>
      </c>
      <c r="C22" s="71" t="s">
        <v>35</v>
      </c>
      <c r="D22" s="72">
        <v>43551</v>
      </c>
      <c r="E22" s="71" t="s">
        <v>62</v>
      </c>
      <c r="F22" s="71" t="s">
        <v>28</v>
      </c>
      <c r="G22" s="71" t="s">
        <v>64</v>
      </c>
      <c r="H22" s="73" t="s">
        <v>67</v>
      </c>
      <c r="I22" s="71" t="s">
        <v>69</v>
      </c>
      <c r="J22" s="74">
        <v>43551</v>
      </c>
      <c r="K22">
        <v>1</v>
      </c>
    </row>
    <row r="23" spans="1:11" ht="24.95" hidden="1" customHeight="1">
      <c r="A23" s="42">
        <f t="shared" si="0"/>
        <v>16</v>
      </c>
      <c r="B23" s="38">
        <v>2019</v>
      </c>
      <c r="C23" s="38" t="s">
        <v>35</v>
      </c>
      <c r="D23" s="39">
        <v>43551</v>
      </c>
      <c r="E23" s="38" t="s">
        <v>62</v>
      </c>
      <c r="F23" s="38" t="s">
        <v>65</v>
      </c>
      <c r="G23" s="38" t="s">
        <v>66</v>
      </c>
      <c r="H23" s="40" t="s">
        <v>68</v>
      </c>
      <c r="I23" s="38" t="s">
        <v>70</v>
      </c>
      <c r="J23" s="43">
        <v>43551</v>
      </c>
      <c r="K23">
        <v>1</v>
      </c>
    </row>
    <row r="24" spans="1:11" ht="24.95" hidden="1" customHeight="1">
      <c r="A24" s="42">
        <f t="shared" si="0"/>
        <v>17</v>
      </c>
      <c r="B24" s="38">
        <v>2019</v>
      </c>
      <c r="C24" s="38" t="s">
        <v>71</v>
      </c>
      <c r="D24" s="39">
        <v>43658</v>
      </c>
      <c r="E24" s="38" t="s">
        <v>72</v>
      </c>
      <c r="F24" s="38" t="s">
        <v>73</v>
      </c>
      <c r="G24" s="38" t="s">
        <v>74</v>
      </c>
      <c r="H24" s="40" t="s">
        <v>76</v>
      </c>
      <c r="I24" s="38" t="s">
        <v>69</v>
      </c>
      <c r="J24" s="43">
        <v>43658</v>
      </c>
      <c r="K24">
        <v>1</v>
      </c>
    </row>
    <row r="25" spans="1:11" ht="24.95" hidden="1" customHeight="1">
      <c r="A25" s="42">
        <f t="shared" si="0"/>
        <v>18</v>
      </c>
      <c r="B25" s="38">
        <v>2019</v>
      </c>
      <c r="C25" s="38" t="s">
        <v>71</v>
      </c>
      <c r="D25" s="39">
        <v>43658</v>
      </c>
      <c r="E25" s="38" t="s">
        <v>72</v>
      </c>
      <c r="F25" s="38" t="s">
        <v>65</v>
      </c>
      <c r="G25" s="38" t="s">
        <v>75</v>
      </c>
      <c r="H25" s="40" t="s">
        <v>76</v>
      </c>
      <c r="I25" s="38" t="s">
        <v>70</v>
      </c>
      <c r="J25" s="43">
        <v>43658</v>
      </c>
      <c r="K25">
        <v>1</v>
      </c>
    </row>
    <row r="26" spans="1:11" ht="24.95" hidden="1" customHeight="1">
      <c r="A26" s="42">
        <f t="shared" si="0"/>
        <v>19</v>
      </c>
      <c r="B26" s="38">
        <v>2019</v>
      </c>
      <c r="C26" s="38" t="s">
        <v>34</v>
      </c>
      <c r="D26" s="39">
        <v>43733</v>
      </c>
      <c r="E26" s="38" t="s">
        <v>77</v>
      </c>
      <c r="F26" s="38" t="s">
        <v>78</v>
      </c>
      <c r="G26" s="38" t="s">
        <v>79</v>
      </c>
      <c r="H26" s="40" t="s">
        <v>80</v>
      </c>
      <c r="I26" s="38" t="s">
        <v>81</v>
      </c>
      <c r="J26" s="43">
        <v>43733</v>
      </c>
      <c r="K26">
        <v>1</v>
      </c>
    </row>
    <row r="27" spans="1:11" ht="24.95" hidden="1" customHeight="1">
      <c r="A27" s="42">
        <f t="shared" si="0"/>
        <v>20</v>
      </c>
      <c r="B27" s="38">
        <v>2019</v>
      </c>
      <c r="C27" s="38" t="s">
        <v>34</v>
      </c>
      <c r="D27" s="39">
        <v>43733</v>
      </c>
      <c r="E27" s="38" t="s">
        <v>77</v>
      </c>
      <c r="F27" s="38" t="s">
        <v>43</v>
      </c>
      <c r="G27" s="38" t="s">
        <v>83</v>
      </c>
      <c r="H27" s="40" t="s">
        <v>85</v>
      </c>
      <c r="I27" s="38" t="s">
        <v>25</v>
      </c>
      <c r="J27" s="43">
        <v>43733</v>
      </c>
      <c r="K27">
        <v>1</v>
      </c>
    </row>
    <row r="28" spans="1:11" ht="24.95" hidden="1" customHeight="1">
      <c r="A28" s="42">
        <f t="shared" si="0"/>
        <v>21</v>
      </c>
      <c r="B28" s="38">
        <v>2019</v>
      </c>
      <c r="C28" s="38" t="s">
        <v>34</v>
      </c>
      <c r="D28" s="39">
        <v>43733</v>
      </c>
      <c r="E28" s="38" t="s">
        <v>77</v>
      </c>
      <c r="F28" s="38" t="s">
        <v>82</v>
      </c>
      <c r="G28" s="38" t="s">
        <v>84</v>
      </c>
      <c r="H28" s="40" t="s">
        <v>86</v>
      </c>
      <c r="I28" s="38" t="s">
        <v>87</v>
      </c>
      <c r="J28" s="43">
        <v>43733</v>
      </c>
      <c r="K28">
        <v>1</v>
      </c>
    </row>
    <row r="29" spans="1:11" ht="24.95" hidden="1" customHeight="1">
      <c r="A29" s="42">
        <f t="shared" si="0"/>
        <v>22</v>
      </c>
      <c r="B29" s="38">
        <v>2019</v>
      </c>
      <c r="C29" s="38" t="s">
        <v>35</v>
      </c>
      <c r="D29" s="39">
        <v>43753</v>
      </c>
      <c r="E29" s="38" t="s">
        <v>88</v>
      </c>
      <c r="F29" s="38" t="s">
        <v>89</v>
      </c>
      <c r="G29" s="38" t="s">
        <v>90</v>
      </c>
      <c r="H29" s="40" t="s">
        <v>91</v>
      </c>
      <c r="I29" s="38" t="s">
        <v>25</v>
      </c>
      <c r="J29" s="43">
        <v>43753</v>
      </c>
      <c r="K29">
        <v>1</v>
      </c>
    </row>
    <row r="30" spans="1:11" ht="24.95" hidden="1" customHeight="1">
      <c r="A30" s="42">
        <f t="shared" si="0"/>
        <v>23</v>
      </c>
      <c r="B30" s="38">
        <v>2019</v>
      </c>
      <c r="C30" s="38" t="s">
        <v>35</v>
      </c>
      <c r="D30" s="39">
        <v>43753</v>
      </c>
      <c r="E30" s="38" t="s">
        <v>88</v>
      </c>
      <c r="F30" s="38" t="s">
        <v>78</v>
      </c>
      <c r="G30" s="38" t="s">
        <v>93</v>
      </c>
      <c r="H30" s="40" t="s">
        <v>91</v>
      </c>
      <c r="I30" s="38" t="s">
        <v>97</v>
      </c>
      <c r="J30" s="43">
        <v>43753</v>
      </c>
      <c r="K30">
        <v>1</v>
      </c>
    </row>
    <row r="31" spans="1:11" ht="24.95" hidden="1" customHeight="1">
      <c r="A31" s="42">
        <f t="shared" si="0"/>
        <v>24</v>
      </c>
      <c r="B31" s="38">
        <v>2019</v>
      </c>
      <c r="C31" s="38" t="s">
        <v>35</v>
      </c>
      <c r="D31" s="39">
        <v>43753</v>
      </c>
      <c r="E31" s="38" t="s">
        <v>88</v>
      </c>
      <c r="F31" s="38" t="s">
        <v>78</v>
      </c>
      <c r="G31" s="38" t="s">
        <v>94</v>
      </c>
      <c r="H31" s="40" t="s">
        <v>91</v>
      </c>
      <c r="I31" s="38" t="s">
        <v>97</v>
      </c>
      <c r="J31" s="43">
        <v>43753</v>
      </c>
      <c r="K31">
        <v>1</v>
      </c>
    </row>
    <row r="32" spans="1:11" ht="24.95" hidden="1" customHeight="1">
      <c r="A32" s="42">
        <f t="shared" si="0"/>
        <v>25</v>
      </c>
      <c r="B32" s="38">
        <v>2019</v>
      </c>
      <c r="C32" s="38" t="s">
        <v>35</v>
      </c>
      <c r="D32" s="39">
        <v>43753</v>
      </c>
      <c r="E32" s="38" t="s">
        <v>88</v>
      </c>
      <c r="F32" s="38" t="s">
        <v>78</v>
      </c>
      <c r="G32" s="38" t="s">
        <v>95</v>
      </c>
      <c r="H32" s="40" t="s">
        <v>91</v>
      </c>
      <c r="I32" s="38" t="s">
        <v>97</v>
      </c>
      <c r="J32" s="43">
        <v>43753</v>
      </c>
      <c r="K32">
        <v>1</v>
      </c>
    </row>
    <row r="33" spans="1:11" ht="24.95" hidden="1" customHeight="1">
      <c r="A33" s="42">
        <f t="shared" si="0"/>
        <v>26</v>
      </c>
      <c r="B33" s="38">
        <v>2019</v>
      </c>
      <c r="C33" s="38" t="s">
        <v>35</v>
      </c>
      <c r="D33" s="39">
        <v>43753</v>
      </c>
      <c r="E33" s="38" t="s">
        <v>88</v>
      </c>
      <c r="F33" s="38" t="s">
        <v>78</v>
      </c>
      <c r="G33" s="38" t="s">
        <v>96</v>
      </c>
      <c r="H33" s="40" t="s">
        <v>91</v>
      </c>
      <c r="I33" s="38" t="s">
        <v>97</v>
      </c>
      <c r="J33" s="43">
        <v>43753</v>
      </c>
      <c r="K33">
        <v>1</v>
      </c>
    </row>
    <row r="34" spans="1:11" ht="24.95" hidden="1" customHeight="1">
      <c r="A34" s="42">
        <f t="shared" si="0"/>
        <v>27</v>
      </c>
      <c r="B34" s="38">
        <v>2019</v>
      </c>
      <c r="C34" s="38" t="s">
        <v>35</v>
      </c>
      <c r="D34" s="39">
        <v>43753</v>
      </c>
      <c r="E34" s="38" t="s">
        <v>98</v>
      </c>
      <c r="F34" s="38" t="s">
        <v>78</v>
      </c>
      <c r="G34" s="38" t="s">
        <v>99</v>
      </c>
      <c r="H34" s="40" t="s">
        <v>100</v>
      </c>
      <c r="I34" s="38" t="s">
        <v>97</v>
      </c>
      <c r="J34" s="43">
        <v>43753</v>
      </c>
      <c r="K34">
        <v>1</v>
      </c>
    </row>
    <row r="35" spans="1:11" ht="24.95" hidden="1" customHeight="1">
      <c r="A35" s="42">
        <f t="shared" si="0"/>
        <v>28</v>
      </c>
      <c r="B35" s="38">
        <v>2019</v>
      </c>
      <c r="C35" s="38" t="s">
        <v>101</v>
      </c>
      <c r="D35" s="39">
        <v>43776</v>
      </c>
      <c r="E35" s="38" t="s">
        <v>102</v>
      </c>
      <c r="F35" s="38" t="s">
        <v>103</v>
      </c>
      <c r="G35" s="38" t="s">
        <v>104</v>
      </c>
      <c r="H35" s="40" t="s">
        <v>105</v>
      </c>
      <c r="I35" s="38" t="s">
        <v>97</v>
      </c>
      <c r="J35" s="43">
        <v>43776</v>
      </c>
      <c r="K35">
        <v>1</v>
      </c>
    </row>
    <row r="36" spans="1:11" ht="24.95" hidden="1" customHeight="1">
      <c r="A36" s="42">
        <f t="shared" si="0"/>
        <v>29</v>
      </c>
      <c r="B36" s="38">
        <v>2019</v>
      </c>
      <c r="C36" s="38" t="s">
        <v>101</v>
      </c>
      <c r="D36" s="39">
        <v>43776</v>
      </c>
      <c r="E36" s="38" t="s">
        <v>109</v>
      </c>
      <c r="F36" s="38" t="s">
        <v>110</v>
      </c>
      <c r="G36" s="38" t="s">
        <v>111</v>
      </c>
      <c r="H36" s="40" t="s">
        <v>112</v>
      </c>
      <c r="I36" s="38" t="s">
        <v>87</v>
      </c>
      <c r="J36" s="43">
        <v>43776</v>
      </c>
      <c r="K36">
        <v>1</v>
      </c>
    </row>
    <row r="37" spans="1:11" ht="24.95" hidden="1" customHeight="1">
      <c r="A37" s="42">
        <f t="shared" si="0"/>
        <v>30</v>
      </c>
      <c r="B37" s="38">
        <v>2019</v>
      </c>
      <c r="C37" s="38" t="s">
        <v>101</v>
      </c>
      <c r="D37" s="39">
        <v>43781</v>
      </c>
      <c r="E37" s="38" t="s">
        <v>113</v>
      </c>
      <c r="F37" s="38" t="s">
        <v>14</v>
      </c>
      <c r="G37" s="38" t="s">
        <v>114</v>
      </c>
      <c r="H37" s="40" t="s">
        <v>115</v>
      </c>
      <c r="I37" s="38" t="s">
        <v>464</v>
      </c>
      <c r="J37" s="43">
        <v>43781</v>
      </c>
      <c r="K37">
        <v>1</v>
      </c>
    </row>
    <row r="38" spans="1:11" ht="24.95" hidden="1" customHeight="1">
      <c r="A38" s="42">
        <f t="shared" si="0"/>
        <v>31</v>
      </c>
      <c r="B38" s="38">
        <v>2019</v>
      </c>
      <c r="C38" s="38" t="s">
        <v>101</v>
      </c>
      <c r="D38" s="39">
        <v>43781</v>
      </c>
      <c r="E38" s="38" t="s">
        <v>113</v>
      </c>
      <c r="F38" s="38" t="s">
        <v>89</v>
      </c>
      <c r="G38" s="38" t="s">
        <v>117</v>
      </c>
      <c r="H38" s="40" t="s">
        <v>120</v>
      </c>
      <c r="I38" s="38" t="s">
        <v>25</v>
      </c>
      <c r="J38" s="43">
        <v>43781</v>
      </c>
      <c r="K38">
        <v>1</v>
      </c>
    </row>
    <row r="39" spans="1:11" ht="24.95" hidden="1" customHeight="1">
      <c r="A39" s="42">
        <f t="shared" si="0"/>
        <v>32</v>
      </c>
      <c r="B39" s="38">
        <v>2019</v>
      </c>
      <c r="C39" s="38" t="s">
        <v>101</v>
      </c>
      <c r="D39" s="39">
        <v>43781</v>
      </c>
      <c r="E39" s="38" t="s">
        <v>113</v>
      </c>
      <c r="F39" s="38" t="s">
        <v>103</v>
      </c>
      <c r="G39" s="38" t="s">
        <v>119</v>
      </c>
      <c r="H39" s="40" t="s">
        <v>86</v>
      </c>
      <c r="I39" s="38" t="s">
        <v>87</v>
      </c>
      <c r="J39" s="43">
        <v>43781</v>
      </c>
      <c r="K39">
        <v>1</v>
      </c>
    </row>
    <row r="40" spans="1:11" ht="24.95" hidden="1" customHeight="1">
      <c r="A40" s="42">
        <f t="shared" si="0"/>
        <v>33</v>
      </c>
      <c r="B40" s="38">
        <v>2019</v>
      </c>
      <c r="C40" s="38" t="s">
        <v>35</v>
      </c>
      <c r="D40" s="39">
        <v>43789</v>
      </c>
      <c r="E40" s="38" t="s">
        <v>122</v>
      </c>
      <c r="F40" s="38" t="s">
        <v>28</v>
      </c>
      <c r="G40" s="38" t="s">
        <v>123</v>
      </c>
      <c r="H40" s="40" t="s">
        <v>107</v>
      </c>
      <c r="I40" s="38" t="s">
        <v>30</v>
      </c>
      <c r="J40" s="43">
        <v>43789</v>
      </c>
      <c r="K40">
        <v>1</v>
      </c>
    </row>
    <row r="41" spans="1:11" ht="24.95" hidden="1" customHeight="1">
      <c r="A41" s="42">
        <f t="shared" si="0"/>
        <v>34</v>
      </c>
      <c r="B41" s="38">
        <v>2019</v>
      </c>
      <c r="C41" s="38" t="s">
        <v>35</v>
      </c>
      <c r="D41" s="39">
        <v>43789</v>
      </c>
      <c r="E41" s="38" t="s">
        <v>109</v>
      </c>
      <c r="F41" s="38" t="s">
        <v>126</v>
      </c>
      <c r="G41" s="38" t="s">
        <v>127</v>
      </c>
      <c r="H41" s="40" t="s">
        <v>31</v>
      </c>
      <c r="I41" s="38" t="s">
        <v>17</v>
      </c>
      <c r="J41" s="43">
        <v>43789</v>
      </c>
      <c r="K41">
        <v>1</v>
      </c>
    </row>
    <row r="42" spans="1:11" ht="24.95" hidden="1" customHeight="1">
      <c r="A42" s="42">
        <f t="shared" si="0"/>
        <v>35</v>
      </c>
      <c r="B42" s="38">
        <v>2019</v>
      </c>
      <c r="C42" s="38" t="s">
        <v>35</v>
      </c>
      <c r="D42" s="39">
        <v>43789</v>
      </c>
      <c r="E42" s="38" t="s">
        <v>109</v>
      </c>
      <c r="F42" s="38" t="s">
        <v>128</v>
      </c>
      <c r="G42" s="38" t="s">
        <v>129</v>
      </c>
      <c r="H42" s="40" t="s">
        <v>86</v>
      </c>
      <c r="I42" s="38" t="s">
        <v>25</v>
      </c>
      <c r="J42" s="43">
        <v>43789</v>
      </c>
      <c r="K42">
        <v>1</v>
      </c>
    </row>
    <row r="43" spans="1:11" ht="24.95" hidden="1" customHeight="1">
      <c r="A43" s="42">
        <f t="shared" si="0"/>
        <v>36</v>
      </c>
      <c r="B43" s="38">
        <v>2019</v>
      </c>
      <c r="C43" s="38" t="s">
        <v>71</v>
      </c>
      <c r="D43" s="39">
        <v>43802</v>
      </c>
      <c r="E43" s="38" t="s">
        <v>131</v>
      </c>
      <c r="F43" s="38" t="s">
        <v>132</v>
      </c>
      <c r="G43" s="38" t="s">
        <v>133</v>
      </c>
      <c r="H43" s="40" t="s">
        <v>134</v>
      </c>
      <c r="I43" s="38" t="s">
        <v>30</v>
      </c>
      <c r="J43" s="43">
        <v>43802</v>
      </c>
      <c r="K43">
        <v>1</v>
      </c>
    </row>
    <row r="44" spans="1:11" ht="24.95" hidden="1" customHeight="1" thickBot="1">
      <c r="A44" s="44">
        <f t="shared" si="0"/>
        <v>37</v>
      </c>
      <c r="B44" s="46">
        <v>2019</v>
      </c>
      <c r="C44" s="46" t="s">
        <v>71</v>
      </c>
      <c r="D44" s="47">
        <v>43802</v>
      </c>
      <c r="E44" s="46" t="s">
        <v>72</v>
      </c>
      <c r="F44" s="46" t="s">
        <v>50</v>
      </c>
      <c r="G44" s="46" t="s">
        <v>135</v>
      </c>
      <c r="H44" s="48" t="s">
        <v>86</v>
      </c>
      <c r="I44" s="46" t="s">
        <v>25</v>
      </c>
      <c r="J44" s="49">
        <v>43802</v>
      </c>
      <c r="K44">
        <v>1</v>
      </c>
    </row>
    <row r="45" spans="1:11" ht="24.95" hidden="1" customHeight="1">
      <c r="A45" s="61">
        <f t="shared" si="0"/>
        <v>38</v>
      </c>
      <c r="B45" s="62">
        <v>2020</v>
      </c>
      <c r="C45" s="71" t="s">
        <v>34</v>
      </c>
      <c r="D45" s="72">
        <v>43859</v>
      </c>
      <c r="E45" s="71" t="s">
        <v>137</v>
      </c>
      <c r="F45" s="71" t="s">
        <v>37</v>
      </c>
      <c r="G45" s="71" t="s">
        <v>138</v>
      </c>
      <c r="H45" s="73" t="s">
        <v>139</v>
      </c>
      <c r="I45" s="71" t="s">
        <v>17</v>
      </c>
      <c r="J45" s="74">
        <v>43859</v>
      </c>
      <c r="K45">
        <v>1</v>
      </c>
    </row>
    <row r="46" spans="1:11" ht="24.95" hidden="1" customHeight="1">
      <c r="A46" s="42">
        <f t="shared" si="0"/>
        <v>39</v>
      </c>
      <c r="B46" s="41">
        <v>2020</v>
      </c>
      <c r="C46" s="38" t="s">
        <v>34</v>
      </c>
      <c r="D46" s="39">
        <v>43859</v>
      </c>
      <c r="E46" s="38" t="s">
        <v>140</v>
      </c>
      <c r="F46" s="38" t="s">
        <v>110</v>
      </c>
      <c r="G46" s="38" t="s">
        <v>142</v>
      </c>
      <c r="H46" s="40" t="s">
        <v>86</v>
      </c>
      <c r="I46" s="38" t="s">
        <v>25</v>
      </c>
      <c r="J46" s="43">
        <v>43859</v>
      </c>
      <c r="K46">
        <v>1</v>
      </c>
    </row>
    <row r="47" spans="1:11" ht="24.95" hidden="1" customHeight="1">
      <c r="A47" s="42">
        <f t="shared" si="0"/>
        <v>40</v>
      </c>
      <c r="B47" s="41">
        <v>2020</v>
      </c>
      <c r="C47" s="38" t="s">
        <v>143</v>
      </c>
      <c r="D47" s="39">
        <v>43908</v>
      </c>
      <c r="E47" s="38" t="s">
        <v>144</v>
      </c>
      <c r="F47" s="38" t="s">
        <v>14</v>
      </c>
      <c r="G47" s="38" t="s">
        <v>146</v>
      </c>
      <c r="H47" s="40" t="s">
        <v>147</v>
      </c>
      <c r="I47" s="38" t="s">
        <v>17</v>
      </c>
      <c r="J47" s="43">
        <v>43908</v>
      </c>
      <c r="K47">
        <v>1</v>
      </c>
    </row>
    <row r="48" spans="1:11" ht="24.95" hidden="1" customHeight="1">
      <c r="A48" s="42">
        <f t="shared" si="0"/>
        <v>41</v>
      </c>
      <c r="B48" s="41">
        <v>2020</v>
      </c>
      <c r="C48" s="38" t="s">
        <v>143</v>
      </c>
      <c r="D48" s="39">
        <v>43908</v>
      </c>
      <c r="E48" s="38" t="s">
        <v>140</v>
      </c>
      <c r="F48" s="38" t="s">
        <v>110</v>
      </c>
      <c r="G48" s="38" t="s">
        <v>150</v>
      </c>
      <c r="H48" s="40" t="s">
        <v>86</v>
      </c>
      <c r="I48" s="38" t="s">
        <v>87</v>
      </c>
      <c r="J48" s="43">
        <v>43908</v>
      </c>
      <c r="K48">
        <v>1</v>
      </c>
    </row>
    <row r="49" spans="1:11" ht="24.95" hidden="1" customHeight="1">
      <c r="A49" s="42">
        <f t="shared" si="0"/>
        <v>42</v>
      </c>
      <c r="B49" s="41">
        <v>2020</v>
      </c>
      <c r="C49" s="38" t="s">
        <v>143</v>
      </c>
      <c r="D49" s="39">
        <v>43942</v>
      </c>
      <c r="E49" s="38" t="s">
        <v>144</v>
      </c>
      <c r="F49" s="38" t="s">
        <v>14</v>
      </c>
      <c r="G49" s="38" t="s">
        <v>153</v>
      </c>
      <c r="H49" s="40" t="s">
        <v>156</v>
      </c>
      <c r="I49" s="38" t="s">
        <v>87</v>
      </c>
      <c r="J49" s="43">
        <v>43942</v>
      </c>
      <c r="K49">
        <v>1</v>
      </c>
    </row>
    <row r="50" spans="1:11" ht="24.95" hidden="1" customHeight="1">
      <c r="A50" s="42">
        <f t="shared" si="0"/>
        <v>43</v>
      </c>
      <c r="B50" s="41">
        <v>2020</v>
      </c>
      <c r="C50" s="38" t="s">
        <v>143</v>
      </c>
      <c r="D50" s="39">
        <v>43942</v>
      </c>
      <c r="E50" s="38" t="s">
        <v>144</v>
      </c>
      <c r="F50" s="38" t="s">
        <v>154</v>
      </c>
      <c r="G50" s="38" t="s">
        <v>155</v>
      </c>
      <c r="H50" s="40" t="s">
        <v>105</v>
      </c>
      <c r="I50" s="38" t="s">
        <v>87</v>
      </c>
      <c r="J50" s="43">
        <v>43942</v>
      </c>
      <c r="K50">
        <v>1</v>
      </c>
    </row>
    <row r="51" spans="1:11" ht="24.95" hidden="1" customHeight="1">
      <c r="A51" s="42">
        <f t="shared" si="0"/>
        <v>44</v>
      </c>
      <c r="B51" s="41">
        <v>2020</v>
      </c>
      <c r="C51" s="38" t="s">
        <v>143</v>
      </c>
      <c r="D51" s="39">
        <v>43942</v>
      </c>
      <c r="E51" s="38" t="s">
        <v>140</v>
      </c>
      <c r="F51" s="38" t="s">
        <v>110</v>
      </c>
      <c r="G51" s="38" t="s">
        <v>173</v>
      </c>
      <c r="H51" s="40" t="s">
        <v>86</v>
      </c>
      <c r="I51" s="38" t="s">
        <v>17</v>
      </c>
      <c r="J51" s="43">
        <v>43942</v>
      </c>
      <c r="K51">
        <v>1</v>
      </c>
    </row>
    <row r="52" spans="1:11" ht="24.95" hidden="1" customHeight="1">
      <c r="A52" s="42">
        <f t="shared" si="0"/>
        <v>45</v>
      </c>
      <c r="B52" s="41">
        <v>2020</v>
      </c>
      <c r="C52" s="38" t="s">
        <v>143</v>
      </c>
      <c r="D52" s="39">
        <v>43942</v>
      </c>
      <c r="E52" s="38" t="s">
        <v>140</v>
      </c>
      <c r="F52" s="38" t="s">
        <v>110</v>
      </c>
      <c r="G52" s="38" t="s">
        <v>150</v>
      </c>
      <c r="H52" s="40" t="s">
        <v>86</v>
      </c>
      <c r="I52" s="38" t="s">
        <v>17</v>
      </c>
      <c r="J52" s="43">
        <v>43942</v>
      </c>
      <c r="K52">
        <v>1</v>
      </c>
    </row>
    <row r="53" spans="1:11" ht="24.95" hidden="1" customHeight="1">
      <c r="A53" s="42">
        <f t="shared" si="0"/>
        <v>46</v>
      </c>
      <c r="B53" s="41">
        <v>2020</v>
      </c>
      <c r="C53" s="38" t="s">
        <v>143</v>
      </c>
      <c r="D53" s="39">
        <v>43958</v>
      </c>
      <c r="E53" s="38" t="s">
        <v>157</v>
      </c>
      <c r="F53" s="38" t="s">
        <v>103</v>
      </c>
      <c r="G53" s="38" t="s">
        <v>159</v>
      </c>
      <c r="H53" s="40" t="s">
        <v>160</v>
      </c>
      <c r="I53" s="38" t="s">
        <v>25</v>
      </c>
      <c r="J53" s="43">
        <v>43958</v>
      </c>
      <c r="K53">
        <v>1</v>
      </c>
    </row>
    <row r="54" spans="1:11" ht="24.95" hidden="1" customHeight="1">
      <c r="A54" s="42">
        <f t="shared" si="0"/>
        <v>47</v>
      </c>
      <c r="B54" s="41">
        <v>2020</v>
      </c>
      <c r="C54" s="38" t="s">
        <v>143</v>
      </c>
      <c r="D54" s="39">
        <v>44000</v>
      </c>
      <c r="E54" s="38" t="s">
        <v>161</v>
      </c>
      <c r="F54" s="38" t="s">
        <v>28</v>
      </c>
      <c r="G54" s="38" t="s">
        <v>162</v>
      </c>
      <c r="H54" s="40" t="s">
        <v>107</v>
      </c>
      <c r="I54" s="38" t="s">
        <v>25</v>
      </c>
      <c r="J54" s="43">
        <v>44000</v>
      </c>
      <c r="K54">
        <v>1</v>
      </c>
    </row>
    <row r="55" spans="1:11" ht="24.95" hidden="1" customHeight="1">
      <c r="A55" s="42">
        <f t="shared" si="0"/>
        <v>48</v>
      </c>
      <c r="B55" s="41">
        <v>2020</v>
      </c>
      <c r="C55" s="38" t="s">
        <v>143</v>
      </c>
      <c r="D55" s="39">
        <v>44000</v>
      </c>
      <c r="E55" s="38" t="s">
        <v>161</v>
      </c>
      <c r="F55" s="38" t="s">
        <v>14</v>
      </c>
      <c r="G55" s="38" t="s">
        <v>163</v>
      </c>
      <c r="H55" s="40" t="s">
        <v>182</v>
      </c>
      <c r="I55" s="38" t="s">
        <v>25</v>
      </c>
      <c r="J55" s="43">
        <v>44000</v>
      </c>
      <c r="K55">
        <v>1</v>
      </c>
    </row>
    <row r="56" spans="1:11" ht="24.95" hidden="1" customHeight="1">
      <c r="A56" s="42">
        <f t="shared" si="0"/>
        <v>49</v>
      </c>
      <c r="B56" s="41">
        <v>2020</v>
      </c>
      <c r="C56" s="38" t="s">
        <v>143</v>
      </c>
      <c r="D56" s="39">
        <v>44000</v>
      </c>
      <c r="E56" s="38" t="s">
        <v>161</v>
      </c>
      <c r="F56" s="38" t="s">
        <v>14</v>
      </c>
      <c r="G56" s="38" t="s">
        <v>164</v>
      </c>
      <c r="H56" s="40" t="s">
        <v>183</v>
      </c>
      <c r="I56" s="38" t="s">
        <v>25</v>
      </c>
      <c r="J56" s="43">
        <v>44000</v>
      </c>
      <c r="K56">
        <v>1</v>
      </c>
    </row>
    <row r="57" spans="1:11" ht="24.95" hidden="1" customHeight="1">
      <c r="A57" s="42">
        <f t="shared" si="0"/>
        <v>50</v>
      </c>
      <c r="B57" s="41">
        <v>2020</v>
      </c>
      <c r="C57" s="38" t="s">
        <v>35</v>
      </c>
      <c r="D57" s="39">
        <v>44040</v>
      </c>
      <c r="E57" s="38" t="s">
        <v>168</v>
      </c>
      <c r="F57" s="38" t="s">
        <v>28</v>
      </c>
      <c r="G57" s="38" t="s">
        <v>169</v>
      </c>
      <c r="H57" s="40" t="s">
        <v>174</v>
      </c>
      <c r="I57" s="38" t="s">
        <v>25</v>
      </c>
      <c r="J57" s="43">
        <v>44040</v>
      </c>
      <c r="K57">
        <v>1</v>
      </c>
    </row>
    <row r="58" spans="1:11" ht="24.95" hidden="1" customHeight="1">
      <c r="A58" s="42">
        <f t="shared" si="0"/>
        <v>51</v>
      </c>
      <c r="B58" s="41">
        <v>2020</v>
      </c>
      <c r="C58" s="38" t="s">
        <v>35</v>
      </c>
      <c r="D58" s="39">
        <v>44040</v>
      </c>
      <c r="E58" s="38" t="s">
        <v>168</v>
      </c>
      <c r="F58" s="38" t="s">
        <v>154</v>
      </c>
      <c r="G58" s="38" t="s">
        <v>170</v>
      </c>
      <c r="H58" s="40" t="s">
        <v>175</v>
      </c>
      <c r="I58" s="38" t="s">
        <v>177</v>
      </c>
      <c r="J58" s="43">
        <v>44040</v>
      </c>
      <c r="K58">
        <v>1</v>
      </c>
    </row>
    <row r="59" spans="1:11" ht="24.95" hidden="1" customHeight="1">
      <c r="A59" s="42">
        <f t="shared" si="0"/>
        <v>52</v>
      </c>
      <c r="B59" s="41">
        <v>2020</v>
      </c>
      <c r="C59" s="38" t="s">
        <v>35</v>
      </c>
      <c r="D59" s="39">
        <v>44040</v>
      </c>
      <c r="E59" s="38" t="s">
        <v>168</v>
      </c>
      <c r="F59" s="38" t="s">
        <v>14</v>
      </c>
      <c r="G59" s="38" t="s">
        <v>171</v>
      </c>
      <c r="H59" s="40" t="s">
        <v>176</v>
      </c>
      <c r="I59" s="38" t="s">
        <v>177</v>
      </c>
      <c r="J59" s="43">
        <v>44040</v>
      </c>
      <c r="K59">
        <v>1</v>
      </c>
    </row>
    <row r="60" spans="1:11" ht="24.95" hidden="1" customHeight="1">
      <c r="A60" s="42">
        <f t="shared" si="0"/>
        <v>53</v>
      </c>
      <c r="B60" s="41">
        <v>2020</v>
      </c>
      <c r="C60" s="38" t="s">
        <v>35</v>
      </c>
      <c r="D60" s="39">
        <v>44040</v>
      </c>
      <c r="E60" s="38" t="s">
        <v>140</v>
      </c>
      <c r="F60" s="38" t="s">
        <v>50</v>
      </c>
      <c r="G60" s="38" t="s">
        <v>173</v>
      </c>
      <c r="H60" s="40" t="s">
        <v>86</v>
      </c>
      <c r="I60" s="38" t="s">
        <v>25</v>
      </c>
      <c r="J60" s="43">
        <v>44040</v>
      </c>
      <c r="K60">
        <v>1</v>
      </c>
    </row>
    <row r="61" spans="1:11" ht="24.95" hidden="1" customHeight="1">
      <c r="A61" s="42">
        <f t="shared" si="0"/>
        <v>54</v>
      </c>
      <c r="B61" s="41">
        <v>2020</v>
      </c>
      <c r="C61" s="38" t="s">
        <v>34</v>
      </c>
      <c r="D61" s="39">
        <v>44123</v>
      </c>
      <c r="E61" s="38" t="s">
        <v>178</v>
      </c>
      <c r="F61" s="38" t="s">
        <v>179</v>
      </c>
      <c r="G61" s="38" t="s">
        <v>180</v>
      </c>
      <c r="H61" s="40" t="s">
        <v>181</v>
      </c>
      <c r="I61" s="38" t="s">
        <v>464</v>
      </c>
      <c r="J61" s="43">
        <v>44123</v>
      </c>
      <c r="K61">
        <v>1</v>
      </c>
    </row>
    <row r="62" spans="1:11" ht="24.95" hidden="1" customHeight="1">
      <c r="A62" s="42">
        <f t="shared" si="0"/>
        <v>55</v>
      </c>
      <c r="B62" s="41">
        <v>2020</v>
      </c>
      <c r="C62" s="38" t="s">
        <v>143</v>
      </c>
      <c r="D62" s="39">
        <v>44139</v>
      </c>
      <c r="E62" s="38" t="s">
        <v>186</v>
      </c>
      <c r="F62" s="38" t="s">
        <v>28</v>
      </c>
      <c r="G62" s="38" t="s">
        <v>187</v>
      </c>
      <c r="H62" s="40" t="s">
        <v>188</v>
      </c>
      <c r="I62" s="38" t="s">
        <v>189</v>
      </c>
      <c r="J62" s="43">
        <v>44139</v>
      </c>
      <c r="K62">
        <v>1</v>
      </c>
    </row>
    <row r="63" spans="1:11" ht="24.95" hidden="1" customHeight="1">
      <c r="A63" s="42">
        <f t="shared" si="0"/>
        <v>56</v>
      </c>
      <c r="B63" s="41">
        <v>2020</v>
      </c>
      <c r="C63" s="38" t="s">
        <v>143</v>
      </c>
      <c r="D63" s="39">
        <v>44172</v>
      </c>
      <c r="E63" s="38" t="s">
        <v>109</v>
      </c>
      <c r="F63" s="38" t="s">
        <v>128</v>
      </c>
      <c r="G63" s="38" t="s">
        <v>129</v>
      </c>
      <c r="H63" s="40" t="s">
        <v>112</v>
      </c>
      <c r="I63" s="38" t="s">
        <v>97</v>
      </c>
      <c r="J63" s="43">
        <v>44172</v>
      </c>
      <c r="K63">
        <v>1</v>
      </c>
    </row>
    <row r="64" spans="1:11" ht="24.95" hidden="1" customHeight="1">
      <c r="A64" s="42">
        <f t="shared" si="0"/>
        <v>57</v>
      </c>
      <c r="B64" s="41">
        <v>2020</v>
      </c>
      <c r="C64" s="38" t="s">
        <v>143</v>
      </c>
      <c r="D64" s="39">
        <v>44172</v>
      </c>
      <c r="E64" s="38" t="s">
        <v>109</v>
      </c>
      <c r="F64" s="38" t="s">
        <v>110</v>
      </c>
      <c r="G64" s="38" t="s">
        <v>193</v>
      </c>
      <c r="H64" s="40" t="s">
        <v>112</v>
      </c>
      <c r="I64" s="38" t="s">
        <v>87</v>
      </c>
      <c r="J64" s="43">
        <v>44172</v>
      </c>
      <c r="K64">
        <v>1</v>
      </c>
    </row>
    <row r="65" spans="1:11" ht="24.95" hidden="1" customHeight="1">
      <c r="A65" s="42">
        <f t="shared" si="0"/>
        <v>58</v>
      </c>
      <c r="B65" s="41">
        <v>2020</v>
      </c>
      <c r="C65" s="38" t="s">
        <v>143</v>
      </c>
      <c r="D65" s="39">
        <v>44172</v>
      </c>
      <c r="E65" s="38" t="s">
        <v>109</v>
      </c>
      <c r="F65" s="38" t="s">
        <v>110</v>
      </c>
      <c r="G65" s="38" t="s">
        <v>111</v>
      </c>
      <c r="H65" s="40" t="s">
        <v>112</v>
      </c>
      <c r="I65" s="38" t="s">
        <v>17</v>
      </c>
      <c r="J65" s="43">
        <v>44172</v>
      </c>
      <c r="K65">
        <v>1</v>
      </c>
    </row>
    <row r="66" spans="1:11" ht="24.95" hidden="1" customHeight="1">
      <c r="A66" s="42">
        <f t="shared" si="0"/>
        <v>59</v>
      </c>
      <c r="B66" s="41">
        <v>2020</v>
      </c>
      <c r="C66" s="38" t="s">
        <v>34</v>
      </c>
      <c r="D66" s="39">
        <v>44189</v>
      </c>
      <c r="E66" s="38" t="s">
        <v>205</v>
      </c>
      <c r="F66" s="38" t="s">
        <v>132</v>
      </c>
      <c r="G66" s="38" t="s">
        <v>207</v>
      </c>
      <c r="H66" s="40" t="s">
        <v>208</v>
      </c>
      <c r="I66" s="38" t="s">
        <v>189</v>
      </c>
      <c r="J66" s="43">
        <v>44189</v>
      </c>
      <c r="K66">
        <v>1</v>
      </c>
    </row>
    <row r="67" spans="1:11" ht="24.95" hidden="1" customHeight="1" thickBot="1">
      <c r="A67" s="44">
        <f t="shared" si="0"/>
        <v>60</v>
      </c>
      <c r="B67" s="45">
        <v>2020</v>
      </c>
      <c r="C67" s="46" t="s">
        <v>35</v>
      </c>
      <c r="D67" s="47">
        <v>44196</v>
      </c>
      <c r="E67" s="46" t="s">
        <v>178</v>
      </c>
      <c r="F67" s="46" t="s">
        <v>14</v>
      </c>
      <c r="G67" s="46" t="s">
        <v>200</v>
      </c>
      <c r="H67" s="48" t="s">
        <v>201</v>
      </c>
      <c r="I67" s="46" t="s">
        <v>30</v>
      </c>
      <c r="J67" s="49">
        <v>44196</v>
      </c>
      <c r="K67">
        <v>1</v>
      </c>
    </row>
    <row r="68" spans="1:11" ht="24.95" hidden="1" customHeight="1">
      <c r="A68" s="61">
        <f t="shared" si="0"/>
        <v>61</v>
      </c>
      <c r="B68" s="62">
        <v>2021</v>
      </c>
      <c r="C68" s="63" t="s">
        <v>34</v>
      </c>
      <c r="D68" s="64">
        <v>44251</v>
      </c>
      <c r="E68" s="65" t="s">
        <v>214</v>
      </c>
      <c r="F68" s="65" t="s">
        <v>14</v>
      </c>
      <c r="G68" s="65" t="s">
        <v>215</v>
      </c>
      <c r="H68" s="66" t="s">
        <v>216</v>
      </c>
      <c r="I68" s="65" t="s">
        <v>217</v>
      </c>
      <c r="J68" s="67">
        <v>44252</v>
      </c>
      <c r="K68">
        <v>1</v>
      </c>
    </row>
    <row r="69" spans="1:11" ht="24.95" hidden="1" customHeight="1">
      <c r="A69" s="42">
        <f t="shared" si="0"/>
        <v>62</v>
      </c>
      <c r="B69" s="41">
        <v>2021</v>
      </c>
      <c r="C69" s="20" t="s">
        <v>71</v>
      </c>
      <c r="D69" s="33">
        <v>44285</v>
      </c>
      <c r="E69" s="34" t="s">
        <v>26</v>
      </c>
      <c r="F69" s="24" t="s">
        <v>218</v>
      </c>
      <c r="G69" s="24" t="s">
        <v>219</v>
      </c>
      <c r="H69" s="35" t="s">
        <v>220</v>
      </c>
      <c r="I69" s="55" t="s">
        <v>221</v>
      </c>
      <c r="J69" s="68">
        <v>44285</v>
      </c>
      <c r="K69">
        <v>1</v>
      </c>
    </row>
    <row r="70" spans="1:11" ht="24.95" hidden="1" customHeight="1">
      <c r="A70" s="42">
        <f t="shared" si="0"/>
        <v>63</v>
      </c>
      <c r="B70" s="41">
        <v>2021</v>
      </c>
      <c r="C70" s="20" t="s">
        <v>71</v>
      </c>
      <c r="D70" s="18"/>
      <c r="E70" s="10" t="s">
        <v>222</v>
      </c>
      <c r="F70" s="10" t="s">
        <v>223</v>
      </c>
      <c r="G70" s="10" t="s">
        <v>224</v>
      </c>
      <c r="H70" s="11" t="s">
        <v>225</v>
      </c>
      <c r="I70" s="24" t="s">
        <v>221</v>
      </c>
      <c r="J70" s="69">
        <v>44285</v>
      </c>
      <c r="K70">
        <v>1</v>
      </c>
    </row>
    <row r="71" spans="1:11" ht="24.95" hidden="1" customHeight="1">
      <c r="A71" s="42">
        <f t="shared" si="0"/>
        <v>64</v>
      </c>
      <c r="B71" s="41">
        <v>2021</v>
      </c>
      <c r="C71" s="20" t="s">
        <v>71</v>
      </c>
      <c r="D71" s="18">
        <v>44292</v>
      </c>
      <c r="E71" s="10" t="s">
        <v>227</v>
      </c>
      <c r="F71" s="10" t="s">
        <v>228</v>
      </c>
      <c r="G71" s="10" t="s">
        <v>229</v>
      </c>
      <c r="H71" s="30" t="s">
        <v>230</v>
      </c>
      <c r="I71" s="10" t="s">
        <v>231</v>
      </c>
      <c r="J71" s="69">
        <v>44292</v>
      </c>
      <c r="K71">
        <v>1</v>
      </c>
    </row>
    <row r="72" spans="1:11" ht="24.95" hidden="1" customHeight="1">
      <c r="A72" s="42">
        <f t="shared" si="0"/>
        <v>65</v>
      </c>
      <c r="B72" s="41">
        <v>2021</v>
      </c>
      <c r="C72" s="20" t="s">
        <v>71</v>
      </c>
      <c r="D72" s="18"/>
      <c r="E72" s="10" t="s">
        <v>109</v>
      </c>
      <c r="F72" s="10" t="s">
        <v>232</v>
      </c>
      <c r="G72" s="10" t="s">
        <v>193</v>
      </c>
      <c r="H72" s="37" t="s">
        <v>233</v>
      </c>
      <c r="I72" s="10" t="s">
        <v>108</v>
      </c>
      <c r="J72" s="69">
        <v>44292</v>
      </c>
      <c r="K72">
        <v>1</v>
      </c>
    </row>
    <row r="73" spans="1:11" ht="24.95" hidden="1" customHeight="1">
      <c r="A73" s="42">
        <f t="shared" ref="A73:A136" si="1">ROW()-7</f>
        <v>66</v>
      </c>
      <c r="B73" s="41">
        <v>2021</v>
      </c>
      <c r="C73" s="20" t="s">
        <v>101</v>
      </c>
      <c r="D73" s="18">
        <v>44364</v>
      </c>
      <c r="E73" s="10" t="s">
        <v>236</v>
      </c>
      <c r="F73" s="10" t="s">
        <v>234</v>
      </c>
      <c r="G73" s="10" t="s">
        <v>235</v>
      </c>
      <c r="H73" s="11" t="s">
        <v>237</v>
      </c>
      <c r="I73" s="10" t="s">
        <v>238</v>
      </c>
      <c r="J73" s="69">
        <v>44370</v>
      </c>
      <c r="K73">
        <v>1</v>
      </c>
    </row>
    <row r="74" spans="1:11" ht="24.95" hidden="1" customHeight="1">
      <c r="A74" s="42">
        <f t="shared" si="1"/>
        <v>67</v>
      </c>
      <c r="B74" s="41">
        <v>2021</v>
      </c>
      <c r="C74" s="20" t="s">
        <v>101</v>
      </c>
      <c r="D74" s="18"/>
      <c r="E74" s="10" t="s">
        <v>236</v>
      </c>
      <c r="F74" s="10" t="s">
        <v>239</v>
      </c>
      <c r="G74" s="10" t="s">
        <v>240</v>
      </c>
      <c r="H74" s="11" t="s">
        <v>241</v>
      </c>
      <c r="I74" s="10" t="s">
        <v>108</v>
      </c>
      <c r="J74" s="69">
        <v>44370</v>
      </c>
      <c r="K74">
        <v>1</v>
      </c>
    </row>
    <row r="75" spans="1:11" ht="24.95" hidden="1" customHeight="1">
      <c r="A75" s="42">
        <f t="shared" si="1"/>
        <v>68</v>
      </c>
      <c r="B75" s="41">
        <v>2021</v>
      </c>
      <c r="C75" s="20" t="s">
        <v>71</v>
      </c>
      <c r="D75" s="18">
        <v>44389</v>
      </c>
      <c r="E75" s="10" t="s">
        <v>243</v>
      </c>
      <c r="F75" s="10" t="s">
        <v>14</v>
      </c>
      <c r="G75" s="10" t="s">
        <v>244</v>
      </c>
      <c r="H75" s="11" t="s">
        <v>246</v>
      </c>
      <c r="I75" s="10" t="s">
        <v>226</v>
      </c>
      <c r="J75" s="69">
        <v>44389</v>
      </c>
      <c r="K75">
        <v>1</v>
      </c>
    </row>
    <row r="76" spans="1:11" ht="24.95" hidden="1" customHeight="1">
      <c r="A76" s="42">
        <f t="shared" si="1"/>
        <v>69</v>
      </c>
      <c r="B76" s="41">
        <v>2021</v>
      </c>
      <c r="C76" s="20" t="s">
        <v>242</v>
      </c>
      <c r="D76" s="18"/>
      <c r="E76" s="10"/>
      <c r="F76" s="10" t="s">
        <v>14</v>
      </c>
      <c r="G76" s="10" t="s">
        <v>245</v>
      </c>
      <c r="H76" s="11" t="s">
        <v>247</v>
      </c>
      <c r="I76" s="10" t="s">
        <v>248</v>
      </c>
      <c r="J76" s="69">
        <v>44389</v>
      </c>
      <c r="K76">
        <v>1</v>
      </c>
    </row>
    <row r="77" spans="1:11" ht="24.95" hidden="1" customHeight="1">
      <c r="A77" s="42">
        <f t="shared" si="1"/>
        <v>70</v>
      </c>
      <c r="B77" s="41">
        <v>2021</v>
      </c>
      <c r="C77" s="20" t="s">
        <v>101</v>
      </c>
      <c r="D77" s="18">
        <v>44438</v>
      </c>
      <c r="E77" s="10" t="s">
        <v>249</v>
      </c>
      <c r="F77" s="10" t="s">
        <v>250</v>
      </c>
      <c r="G77" s="10" t="s">
        <v>251</v>
      </c>
      <c r="H77" s="11" t="s">
        <v>252</v>
      </c>
      <c r="I77" s="10" t="s">
        <v>189</v>
      </c>
      <c r="J77" s="69">
        <v>44445</v>
      </c>
      <c r="K77">
        <v>1</v>
      </c>
    </row>
    <row r="78" spans="1:11" ht="24.95" hidden="1" customHeight="1">
      <c r="A78" s="42">
        <f t="shared" si="1"/>
        <v>71</v>
      </c>
      <c r="B78" s="41">
        <v>2021</v>
      </c>
      <c r="C78" s="20" t="s">
        <v>101</v>
      </c>
      <c r="D78" s="18">
        <v>44455</v>
      </c>
      <c r="E78" s="10" t="s">
        <v>257</v>
      </c>
      <c r="F78" s="10" t="s">
        <v>254</v>
      </c>
      <c r="G78" s="10" t="s">
        <v>255</v>
      </c>
      <c r="H78" s="11" t="s">
        <v>259</v>
      </c>
      <c r="I78" s="10" t="s">
        <v>262</v>
      </c>
      <c r="J78" s="69">
        <v>44463</v>
      </c>
      <c r="K78">
        <v>1</v>
      </c>
    </row>
    <row r="79" spans="1:11" ht="24.95" hidden="1" customHeight="1">
      <c r="A79" s="42">
        <f t="shared" si="1"/>
        <v>72</v>
      </c>
      <c r="B79" s="41">
        <v>2021</v>
      </c>
      <c r="C79" s="20" t="s">
        <v>101</v>
      </c>
      <c r="D79" s="18"/>
      <c r="E79" s="10" t="s">
        <v>265</v>
      </c>
      <c r="F79" s="10" t="s">
        <v>132</v>
      </c>
      <c r="G79" s="10" t="s">
        <v>83</v>
      </c>
      <c r="H79" s="11" t="s">
        <v>260</v>
      </c>
      <c r="I79" s="10" t="s">
        <v>262</v>
      </c>
      <c r="J79" s="69">
        <v>44463</v>
      </c>
      <c r="K79">
        <v>1</v>
      </c>
    </row>
    <row r="80" spans="1:11" ht="24.95" hidden="1" customHeight="1">
      <c r="A80" s="42">
        <f t="shared" si="1"/>
        <v>73</v>
      </c>
      <c r="B80" s="41">
        <v>2021</v>
      </c>
      <c r="C80" s="20" t="s">
        <v>101</v>
      </c>
      <c r="D80" s="18"/>
      <c r="E80" s="10" t="s">
        <v>258</v>
      </c>
      <c r="F80" s="10" t="s">
        <v>132</v>
      </c>
      <c r="G80" s="10" t="s">
        <v>256</v>
      </c>
      <c r="H80" s="11" t="s">
        <v>261</v>
      </c>
      <c r="I80" s="10" t="s">
        <v>263</v>
      </c>
      <c r="J80" s="69">
        <v>44463</v>
      </c>
      <c r="K80">
        <v>1</v>
      </c>
    </row>
    <row r="81" spans="1:11" ht="24.95" hidden="1" customHeight="1">
      <c r="A81" s="42">
        <f t="shared" si="1"/>
        <v>74</v>
      </c>
      <c r="B81" s="41">
        <v>2021</v>
      </c>
      <c r="C81" s="20" t="s">
        <v>101</v>
      </c>
      <c r="D81" s="18">
        <v>44497</v>
      </c>
      <c r="E81" s="10" t="s">
        <v>264</v>
      </c>
      <c r="F81" s="10" t="s">
        <v>14</v>
      </c>
      <c r="G81" s="10" t="s">
        <v>267</v>
      </c>
      <c r="H81" s="11" t="s">
        <v>269</v>
      </c>
      <c r="I81" s="10" t="s">
        <v>270</v>
      </c>
      <c r="J81" s="69">
        <v>44502</v>
      </c>
      <c r="K81">
        <v>1</v>
      </c>
    </row>
    <row r="82" spans="1:11" ht="24.95" hidden="1" customHeight="1">
      <c r="A82" s="42">
        <f t="shared" si="1"/>
        <v>75</v>
      </c>
      <c r="B82" s="41">
        <v>2021</v>
      </c>
      <c r="C82" s="20" t="s">
        <v>101</v>
      </c>
      <c r="D82" s="18"/>
      <c r="E82" s="10" t="s">
        <v>264</v>
      </c>
      <c r="F82" s="10" t="s">
        <v>266</v>
      </c>
      <c r="G82" s="10" t="s">
        <v>268</v>
      </c>
      <c r="H82" s="11" t="s">
        <v>269</v>
      </c>
      <c r="I82" s="10" t="s">
        <v>270</v>
      </c>
      <c r="J82" s="69">
        <v>44502</v>
      </c>
      <c r="K82">
        <v>1</v>
      </c>
    </row>
    <row r="83" spans="1:11" ht="24.95" hidden="1" customHeight="1">
      <c r="A83" s="42">
        <f t="shared" si="1"/>
        <v>76</v>
      </c>
      <c r="B83" s="41">
        <v>2021</v>
      </c>
      <c r="C83" s="20" t="s">
        <v>35</v>
      </c>
      <c r="D83" s="18">
        <v>44502</v>
      </c>
      <c r="E83" s="10" t="s">
        <v>280</v>
      </c>
      <c r="F83" s="29" t="s">
        <v>273</v>
      </c>
      <c r="G83" s="29" t="s">
        <v>284</v>
      </c>
      <c r="H83" s="30" t="s">
        <v>287</v>
      </c>
      <c r="I83" s="29" t="s">
        <v>289</v>
      </c>
      <c r="J83" s="69">
        <v>44502</v>
      </c>
      <c r="K83">
        <v>1</v>
      </c>
    </row>
    <row r="84" spans="1:11" ht="24.95" hidden="1" customHeight="1">
      <c r="A84" s="42">
        <f t="shared" si="1"/>
        <v>77</v>
      </c>
      <c r="B84" s="41">
        <v>2021</v>
      </c>
      <c r="C84" s="20" t="s">
        <v>279</v>
      </c>
      <c r="D84" s="32"/>
      <c r="E84" s="10" t="s">
        <v>280</v>
      </c>
      <c r="F84" s="29" t="s">
        <v>282</v>
      </c>
      <c r="G84" s="29" t="s">
        <v>285</v>
      </c>
      <c r="H84" s="30" t="s">
        <v>287</v>
      </c>
      <c r="I84" s="29" t="s">
        <v>290</v>
      </c>
      <c r="J84" s="69">
        <v>44502</v>
      </c>
      <c r="K84">
        <v>1</v>
      </c>
    </row>
    <row r="85" spans="1:11" ht="24.95" hidden="1" customHeight="1">
      <c r="A85" s="42">
        <f t="shared" si="1"/>
        <v>78</v>
      </c>
      <c r="B85" s="41">
        <v>2021</v>
      </c>
      <c r="C85" s="20" t="s">
        <v>279</v>
      </c>
      <c r="D85" s="32"/>
      <c r="E85" s="29" t="s">
        <v>281</v>
      </c>
      <c r="F85" s="29" t="s">
        <v>283</v>
      </c>
      <c r="G85" s="29" t="s">
        <v>286</v>
      </c>
      <c r="H85" s="30" t="s">
        <v>288</v>
      </c>
      <c r="I85" s="29" t="s">
        <v>291</v>
      </c>
      <c r="J85" s="69">
        <v>44502</v>
      </c>
      <c r="K85">
        <v>1</v>
      </c>
    </row>
    <row r="86" spans="1:11" ht="24.95" hidden="1" customHeight="1">
      <c r="A86" s="42">
        <f t="shared" si="1"/>
        <v>79</v>
      </c>
      <c r="B86" s="41">
        <v>2021</v>
      </c>
      <c r="C86" s="20" t="s">
        <v>279</v>
      </c>
      <c r="D86" s="18">
        <v>44503</v>
      </c>
      <c r="E86" s="10" t="s">
        <v>271</v>
      </c>
      <c r="F86" s="29" t="s">
        <v>273</v>
      </c>
      <c r="G86" s="29" t="s">
        <v>275</v>
      </c>
      <c r="H86" s="30" t="s">
        <v>277</v>
      </c>
      <c r="I86" s="29" t="s">
        <v>108</v>
      </c>
      <c r="J86" s="69">
        <v>44508</v>
      </c>
      <c r="K86">
        <v>1</v>
      </c>
    </row>
    <row r="87" spans="1:11" ht="24.95" hidden="1" customHeight="1">
      <c r="A87" s="42">
        <f t="shared" si="1"/>
        <v>80</v>
      </c>
      <c r="B87" s="41">
        <v>2021</v>
      </c>
      <c r="C87" s="20" t="s">
        <v>279</v>
      </c>
      <c r="D87" s="32"/>
      <c r="E87" s="10" t="s">
        <v>272</v>
      </c>
      <c r="F87" s="29" t="s">
        <v>274</v>
      </c>
      <c r="G87" s="29" t="s">
        <v>276</v>
      </c>
      <c r="H87" s="30" t="s">
        <v>278</v>
      </c>
      <c r="I87" s="29" t="s">
        <v>263</v>
      </c>
      <c r="J87" s="69">
        <v>44508</v>
      </c>
      <c r="K87">
        <v>1</v>
      </c>
    </row>
    <row r="88" spans="1:11" ht="24.95" hidden="1" customHeight="1">
      <c r="A88" s="42">
        <f t="shared" si="1"/>
        <v>81</v>
      </c>
      <c r="B88" s="41">
        <v>2021</v>
      </c>
      <c r="C88" s="20" t="s">
        <v>101</v>
      </c>
      <c r="D88" s="32">
        <v>44504</v>
      </c>
      <c r="E88" s="29" t="s">
        <v>292</v>
      </c>
      <c r="F88" s="29" t="s">
        <v>293</v>
      </c>
      <c r="G88" s="29" t="s">
        <v>294</v>
      </c>
      <c r="H88" s="30" t="s">
        <v>295</v>
      </c>
      <c r="I88" s="29" t="s">
        <v>456</v>
      </c>
      <c r="J88" s="70">
        <v>44504</v>
      </c>
      <c r="K88">
        <v>1</v>
      </c>
    </row>
    <row r="89" spans="1:11" ht="24.95" hidden="1" customHeight="1">
      <c r="A89" s="42">
        <f t="shared" si="1"/>
        <v>82</v>
      </c>
      <c r="B89" s="41">
        <v>2021</v>
      </c>
      <c r="C89" s="28" t="s">
        <v>297</v>
      </c>
      <c r="D89" s="32">
        <v>44545</v>
      </c>
      <c r="E89" s="29" t="s">
        <v>298</v>
      </c>
      <c r="F89" s="29" t="s">
        <v>132</v>
      </c>
      <c r="G89" s="29" t="s">
        <v>299</v>
      </c>
      <c r="H89" s="30" t="s">
        <v>300</v>
      </c>
      <c r="I89" s="29" t="s">
        <v>301</v>
      </c>
      <c r="J89" s="70">
        <v>44545</v>
      </c>
      <c r="K89">
        <v>1</v>
      </c>
    </row>
    <row r="90" spans="1:11" ht="24.95" hidden="1" customHeight="1">
      <c r="A90" s="42">
        <f t="shared" si="1"/>
        <v>83</v>
      </c>
      <c r="B90" s="41">
        <v>2021</v>
      </c>
      <c r="C90" s="28" t="s">
        <v>101</v>
      </c>
      <c r="D90" s="32">
        <v>44560</v>
      </c>
      <c r="E90" s="29" t="s">
        <v>303</v>
      </c>
      <c r="F90" s="29" t="s">
        <v>47</v>
      </c>
      <c r="G90" s="29" t="s">
        <v>304</v>
      </c>
      <c r="H90" s="30" t="s">
        <v>305</v>
      </c>
      <c r="I90" s="29" t="s">
        <v>457</v>
      </c>
      <c r="J90" s="70">
        <v>44565</v>
      </c>
      <c r="K90">
        <v>1</v>
      </c>
    </row>
    <row r="91" spans="1:11" ht="24.95" hidden="1" customHeight="1">
      <c r="A91" s="42">
        <f t="shared" si="1"/>
        <v>84</v>
      </c>
      <c r="B91" s="41">
        <v>2021</v>
      </c>
      <c r="C91" s="28" t="s">
        <v>101</v>
      </c>
      <c r="D91" s="29"/>
      <c r="E91" s="29" t="s">
        <v>303</v>
      </c>
      <c r="F91" s="29" t="s">
        <v>47</v>
      </c>
      <c r="G91" s="29" t="s">
        <v>306</v>
      </c>
      <c r="H91" s="30" t="s">
        <v>316</v>
      </c>
      <c r="I91" s="29" t="s">
        <v>364</v>
      </c>
      <c r="J91" s="70">
        <v>44565</v>
      </c>
      <c r="K91">
        <v>1</v>
      </c>
    </row>
    <row r="92" spans="1:11" ht="24.95" hidden="1" customHeight="1">
      <c r="A92" s="42">
        <f t="shared" si="1"/>
        <v>85</v>
      </c>
      <c r="B92" s="41">
        <v>2021</v>
      </c>
      <c r="C92" s="28" t="s">
        <v>101</v>
      </c>
      <c r="D92" s="29"/>
      <c r="E92" s="29" t="s">
        <v>303</v>
      </c>
      <c r="F92" s="29" t="s">
        <v>307</v>
      </c>
      <c r="G92" s="29" t="s">
        <v>308</v>
      </c>
      <c r="H92" s="30" t="s">
        <v>316</v>
      </c>
      <c r="I92" s="29" t="s">
        <v>358</v>
      </c>
      <c r="J92" s="70">
        <v>44565</v>
      </c>
      <c r="K92">
        <v>1</v>
      </c>
    </row>
    <row r="93" spans="1:11" ht="24.95" hidden="1" customHeight="1">
      <c r="A93" s="42">
        <f t="shared" si="1"/>
        <v>86</v>
      </c>
      <c r="B93" s="41">
        <v>2021</v>
      </c>
      <c r="C93" s="28" t="s">
        <v>101</v>
      </c>
      <c r="D93" s="29"/>
      <c r="E93" s="29" t="s">
        <v>303</v>
      </c>
      <c r="F93" s="29" t="s">
        <v>309</v>
      </c>
      <c r="G93" s="29" t="s">
        <v>310</v>
      </c>
      <c r="H93" s="30" t="s">
        <v>317</v>
      </c>
      <c r="I93" s="29" t="s">
        <v>363</v>
      </c>
      <c r="J93" s="70">
        <v>44565</v>
      </c>
      <c r="K93">
        <v>1</v>
      </c>
    </row>
    <row r="94" spans="1:11" ht="24.95" hidden="1" customHeight="1">
      <c r="A94" s="42">
        <f t="shared" si="1"/>
        <v>87</v>
      </c>
      <c r="B94" s="41">
        <v>2021</v>
      </c>
      <c r="C94" s="28" t="s">
        <v>101</v>
      </c>
      <c r="D94" s="29"/>
      <c r="E94" s="29" t="s">
        <v>311</v>
      </c>
      <c r="F94" s="29" t="s">
        <v>309</v>
      </c>
      <c r="G94" s="29" t="s">
        <v>312</v>
      </c>
      <c r="H94" s="30" t="s">
        <v>317</v>
      </c>
      <c r="I94" s="29" t="s">
        <v>17</v>
      </c>
      <c r="J94" s="70">
        <v>44565</v>
      </c>
      <c r="K94">
        <v>1</v>
      </c>
    </row>
    <row r="95" spans="1:11" ht="24.95" hidden="1" customHeight="1">
      <c r="A95" s="42">
        <f t="shared" si="1"/>
        <v>88</v>
      </c>
      <c r="B95" s="41">
        <v>2021</v>
      </c>
      <c r="C95" s="28" t="s">
        <v>101</v>
      </c>
      <c r="D95" s="29"/>
      <c r="E95" s="29" t="s">
        <v>313</v>
      </c>
      <c r="F95" s="29" t="s">
        <v>314</v>
      </c>
      <c r="G95" s="29" t="s">
        <v>315</v>
      </c>
      <c r="H95" s="30" t="s">
        <v>317</v>
      </c>
      <c r="I95" s="29" t="s">
        <v>359</v>
      </c>
      <c r="J95" s="70">
        <v>44565</v>
      </c>
      <c r="K95">
        <v>1</v>
      </c>
    </row>
    <row r="96" spans="1:11" ht="24.95" hidden="1" customHeight="1" thickBot="1">
      <c r="A96" s="44">
        <f t="shared" si="1"/>
        <v>89</v>
      </c>
      <c r="B96" s="45">
        <v>2021</v>
      </c>
      <c r="C96" s="79" t="s">
        <v>34</v>
      </c>
      <c r="D96" s="80"/>
      <c r="E96" s="81" t="s">
        <v>72</v>
      </c>
      <c r="F96" s="81" t="s">
        <v>360</v>
      </c>
      <c r="G96" s="81" t="s">
        <v>361</v>
      </c>
      <c r="H96" s="82" t="s">
        <v>365</v>
      </c>
      <c r="I96" s="81" t="s">
        <v>362</v>
      </c>
      <c r="J96" s="87">
        <v>44565</v>
      </c>
      <c r="K96">
        <v>1</v>
      </c>
    </row>
    <row r="97" spans="1:11" ht="24.95" hidden="1" customHeight="1">
      <c r="A97" s="50">
        <f t="shared" si="1"/>
        <v>90</v>
      </c>
      <c r="B97" s="83">
        <v>2022</v>
      </c>
      <c r="C97" s="84" t="s">
        <v>366</v>
      </c>
      <c r="D97" s="33">
        <v>44602</v>
      </c>
      <c r="E97" s="34" t="s">
        <v>367</v>
      </c>
      <c r="F97" s="34" t="s">
        <v>368</v>
      </c>
      <c r="G97" s="34" t="s">
        <v>369</v>
      </c>
      <c r="H97" s="37" t="s">
        <v>237</v>
      </c>
      <c r="I97" s="34" t="s">
        <v>370</v>
      </c>
      <c r="J97" s="85">
        <v>44603</v>
      </c>
      <c r="K97">
        <v>1</v>
      </c>
    </row>
    <row r="98" spans="1:11" ht="24.95" hidden="1" customHeight="1">
      <c r="A98" s="42">
        <f t="shared" si="1"/>
        <v>91</v>
      </c>
      <c r="B98" s="83">
        <v>2022</v>
      </c>
      <c r="C98" s="84" t="s">
        <v>366</v>
      </c>
      <c r="D98" s="76"/>
      <c r="E98" s="34" t="s">
        <v>367</v>
      </c>
      <c r="F98" s="55" t="s">
        <v>371</v>
      </c>
      <c r="G98" s="55" t="s">
        <v>372</v>
      </c>
      <c r="H98" s="77" t="s">
        <v>373</v>
      </c>
      <c r="I98" s="55" t="s">
        <v>362</v>
      </c>
      <c r="J98" s="86">
        <v>44603</v>
      </c>
      <c r="K98">
        <v>1</v>
      </c>
    </row>
    <row r="99" spans="1:11" ht="24.95" hidden="1" customHeight="1">
      <c r="A99" s="42">
        <f t="shared" si="1"/>
        <v>92</v>
      </c>
      <c r="B99" s="83">
        <v>2022</v>
      </c>
      <c r="C99" s="75"/>
      <c r="D99" s="76">
        <v>44658</v>
      </c>
      <c r="E99" s="55" t="s">
        <v>374</v>
      </c>
      <c r="F99" s="55" t="s">
        <v>375</v>
      </c>
      <c r="G99" s="55" t="s">
        <v>376</v>
      </c>
      <c r="H99" s="11" t="s">
        <v>380</v>
      </c>
      <c r="I99" s="29" t="s">
        <v>17</v>
      </c>
      <c r="J99" s="86">
        <v>44679</v>
      </c>
      <c r="K99">
        <v>1</v>
      </c>
    </row>
    <row r="100" spans="1:11" ht="24.95" hidden="1" customHeight="1">
      <c r="A100" s="42">
        <f t="shared" si="1"/>
        <v>93</v>
      </c>
      <c r="B100" s="83">
        <v>2022</v>
      </c>
      <c r="C100" s="75" t="s">
        <v>35</v>
      </c>
      <c r="D100" s="76">
        <v>44748</v>
      </c>
      <c r="E100" s="55" t="s">
        <v>377</v>
      </c>
      <c r="F100" s="55" t="s">
        <v>378</v>
      </c>
      <c r="G100" s="55" t="s">
        <v>379</v>
      </c>
      <c r="H100" s="30" t="s">
        <v>331</v>
      </c>
      <c r="I100" s="55" t="s">
        <v>381</v>
      </c>
      <c r="J100" s="86">
        <v>44748</v>
      </c>
      <c r="K100">
        <v>1</v>
      </c>
    </row>
    <row r="101" spans="1:11" ht="24.95" hidden="1" customHeight="1">
      <c r="A101" s="42">
        <f t="shared" si="1"/>
        <v>94</v>
      </c>
      <c r="B101" s="83">
        <v>2022</v>
      </c>
      <c r="C101" s="75" t="s">
        <v>35</v>
      </c>
      <c r="D101" s="76">
        <v>44748</v>
      </c>
      <c r="E101" s="55" t="s">
        <v>382</v>
      </c>
      <c r="F101" s="55" t="s">
        <v>383</v>
      </c>
      <c r="G101" s="55" t="s">
        <v>384</v>
      </c>
      <c r="H101" s="30" t="s">
        <v>316</v>
      </c>
      <c r="I101" s="55" t="s">
        <v>359</v>
      </c>
      <c r="J101" s="86">
        <v>44748</v>
      </c>
      <c r="K101">
        <v>1</v>
      </c>
    </row>
    <row r="102" spans="1:11" ht="24.95" hidden="1" customHeight="1">
      <c r="A102" s="42">
        <f t="shared" si="1"/>
        <v>95</v>
      </c>
      <c r="B102" s="83">
        <v>2022</v>
      </c>
      <c r="C102" s="75"/>
      <c r="D102" s="76"/>
      <c r="E102" s="55" t="s">
        <v>382</v>
      </c>
      <c r="F102" s="55" t="s">
        <v>386</v>
      </c>
      <c r="G102" s="55" t="s">
        <v>385</v>
      </c>
      <c r="H102" s="30" t="s">
        <v>316</v>
      </c>
      <c r="I102" s="55" t="s">
        <v>25</v>
      </c>
      <c r="J102" s="86">
        <v>44748</v>
      </c>
      <c r="K102">
        <v>1</v>
      </c>
    </row>
    <row r="103" spans="1:11" ht="24.95" hidden="1" customHeight="1">
      <c r="A103" s="42">
        <f t="shared" si="1"/>
        <v>96</v>
      </c>
      <c r="B103" s="83">
        <v>2022</v>
      </c>
      <c r="C103" s="75"/>
      <c r="D103" s="76">
        <v>44770</v>
      </c>
      <c r="E103" s="55" t="s">
        <v>178</v>
      </c>
      <c r="F103" s="55" t="s">
        <v>387</v>
      </c>
      <c r="G103" s="55" t="s">
        <v>388</v>
      </c>
      <c r="H103" s="77" t="s">
        <v>390</v>
      </c>
      <c r="I103" s="55" t="s">
        <v>389</v>
      </c>
      <c r="J103" s="86">
        <v>44770</v>
      </c>
      <c r="K103">
        <v>1</v>
      </c>
    </row>
    <row r="104" spans="1:11" ht="24.95" hidden="1" customHeight="1">
      <c r="A104" s="42">
        <f t="shared" si="1"/>
        <v>97</v>
      </c>
      <c r="B104" s="83">
        <v>2022</v>
      </c>
      <c r="C104" s="75"/>
      <c r="D104" s="76"/>
      <c r="E104" s="55" t="s">
        <v>178</v>
      </c>
      <c r="F104" s="55" t="s">
        <v>378</v>
      </c>
      <c r="G104" s="55" t="s">
        <v>391</v>
      </c>
      <c r="H104" s="77" t="s">
        <v>393</v>
      </c>
      <c r="I104" s="55" t="s">
        <v>25</v>
      </c>
      <c r="J104" s="86">
        <v>44770</v>
      </c>
      <c r="K104">
        <v>1</v>
      </c>
    </row>
    <row r="105" spans="1:11" ht="24.95" hidden="1" customHeight="1">
      <c r="A105" s="42">
        <f t="shared" si="1"/>
        <v>98</v>
      </c>
      <c r="B105" s="83">
        <v>2022</v>
      </c>
      <c r="C105" s="75"/>
      <c r="D105" s="76"/>
      <c r="E105" s="55" t="s">
        <v>178</v>
      </c>
      <c r="F105" s="55" t="s">
        <v>375</v>
      </c>
      <c r="G105" s="55" t="s">
        <v>392</v>
      </c>
      <c r="H105" s="77" t="s">
        <v>393</v>
      </c>
      <c r="I105" s="55" t="s">
        <v>359</v>
      </c>
      <c r="J105" s="86">
        <v>44770</v>
      </c>
      <c r="K105">
        <v>1</v>
      </c>
    </row>
    <row r="106" spans="1:11" ht="24.95" hidden="1" customHeight="1">
      <c r="A106" s="42">
        <f t="shared" si="1"/>
        <v>99</v>
      </c>
      <c r="B106" s="83">
        <v>2022</v>
      </c>
      <c r="C106" s="75" t="s">
        <v>397</v>
      </c>
      <c r="D106" s="76">
        <v>44798</v>
      </c>
      <c r="E106" s="55" t="s">
        <v>394</v>
      </c>
      <c r="F106" s="55" t="s">
        <v>378</v>
      </c>
      <c r="G106" s="55" t="s">
        <v>395</v>
      </c>
      <c r="H106" s="77" t="s">
        <v>407</v>
      </c>
      <c r="I106" s="55" t="s">
        <v>396</v>
      </c>
      <c r="J106" s="86">
        <v>44798</v>
      </c>
      <c r="K106">
        <v>1</v>
      </c>
    </row>
    <row r="107" spans="1:11" ht="24.95" hidden="1" customHeight="1">
      <c r="A107" s="42">
        <f t="shared" si="1"/>
        <v>100</v>
      </c>
      <c r="B107" s="83">
        <v>2022</v>
      </c>
      <c r="C107" s="75"/>
      <c r="D107" s="76"/>
      <c r="E107" s="55" t="s">
        <v>394</v>
      </c>
      <c r="F107" s="55" t="s">
        <v>375</v>
      </c>
      <c r="G107" s="55" t="s">
        <v>398</v>
      </c>
      <c r="H107" s="77" t="s">
        <v>407</v>
      </c>
      <c r="I107" s="55" t="s">
        <v>399</v>
      </c>
      <c r="J107" s="86">
        <v>44798</v>
      </c>
      <c r="K107">
        <v>1</v>
      </c>
    </row>
    <row r="108" spans="1:11" ht="24.95" hidden="1" customHeight="1">
      <c r="A108" s="42">
        <f t="shared" si="1"/>
        <v>101</v>
      </c>
      <c r="B108" s="83">
        <v>2022</v>
      </c>
      <c r="C108" s="75" t="s">
        <v>34</v>
      </c>
      <c r="D108" s="76">
        <v>44819</v>
      </c>
      <c r="E108" s="55" t="s">
        <v>400</v>
      </c>
      <c r="F108" s="55" t="s">
        <v>378</v>
      </c>
      <c r="G108" s="55" t="s">
        <v>401</v>
      </c>
      <c r="H108" s="77" t="s">
        <v>406</v>
      </c>
      <c r="I108" s="55" t="s">
        <v>405</v>
      </c>
      <c r="J108" s="86">
        <v>44865</v>
      </c>
      <c r="K108">
        <v>1</v>
      </c>
    </row>
    <row r="109" spans="1:11" ht="24.95" hidden="1" customHeight="1">
      <c r="A109" s="42">
        <f t="shared" si="1"/>
        <v>102</v>
      </c>
      <c r="B109" s="83">
        <v>2022</v>
      </c>
      <c r="C109" s="75"/>
      <c r="D109" s="76"/>
      <c r="E109" s="55" t="s">
        <v>400</v>
      </c>
      <c r="F109" s="55" t="s">
        <v>402</v>
      </c>
      <c r="G109" s="55" t="s">
        <v>403</v>
      </c>
      <c r="H109" s="77" t="s">
        <v>406</v>
      </c>
      <c r="I109" s="55" t="s">
        <v>362</v>
      </c>
      <c r="J109" s="86">
        <v>44865</v>
      </c>
      <c r="K109">
        <v>1</v>
      </c>
    </row>
    <row r="110" spans="1:11" ht="24.95" hidden="1" customHeight="1">
      <c r="A110" s="42">
        <f t="shared" si="1"/>
        <v>103</v>
      </c>
      <c r="B110" s="83">
        <v>2022</v>
      </c>
      <c r="C110" s="75"/>
      <c r="D110" s="76"/>
      <c r="E110" s="55" t="s">
        <v>400</v>
      </c>
      <c r="F110" s="55" t="s">
        <v>378</v>
      </c>
      <c r="G110" s="55" t="s">
        <v>404</v>
      </c>
      <c r="H110" s="77" t="s">
        <v>408</v>
      </c>
      <c r="I110" s="55" t="s">
        <v>25</v>
      </c>
      <c r="J110" s="86">
        <v>44865</v>
      </c>
      <c r="K110">
        <v>1</v>
      </c>
    </row>
    <row r="111" spans="1:11" ht="24.95" hidden="1" customHeight="1">
      <c r="A111" s="42">
        <f t="shared" si="1"/>
        <v>104</v>
      </c>
      <c r="B111" s="83">
        <v>2022</v>
      </c>
      <c r="C111" s="75" t="s">
        <v>412</v>
      </c>
      <c r="D111" s="76">
        <v>44831</v>
      </c>
      <c r="E111" s="55" t="s">
        <v>409</v>
      </c>
      <c r="F111" s="55" t="s">
        <v>378</v>
      </c>
      <c r="G111" s="55" t="s">
        <v>410</v>
      </c>
      <c r="H111" s="40" t="s">
        <v>208</v>
      </c>
      <c r="I111" s="55" t="s">
        <v>411</v>
      </c>
      <c r="J111" s="86">
        <v>44831</v>
      </c>
      <c r="K111">
        <v>1</v>
      </c>
    </row>
    <row r="112" spans="1:11" ht="24.95" hidden="1" customHeight="1">
      <c r="A112" s="42">
        <f t="shared" si="1"/>
        <v>105</v>
      </c>
      <c r="B112" s="83">
        <v>2022</v>
      </c>
      <c r="C112" s="75" t="s">
        <v>34</v>
      </c>
      <c r="D112" s="76">
        <v>44860</v>
      </c>
      <c r="E112" s="55" t="s">
        <v>413</v>
      </c>
      <c r="F112" s="55" t="s">
        <v>378</v>
      </c>
      <c r="G112" s="55" t="s">
        <v>415</v>
      </c>
      <c r="H112" s="11" t="s">
        <v>380</v>
      </c>
      <c r="I112" s="55" t="s">
        <v>414</v>
      </c>
      <c r="J112" s="86">
        <v>44862</v>
      </c>
      <c r="K112">
        <v>1</v>
      </c>
    </row>
    <row r="113" spans="1:21" ht="24.95" hidden="1" customHeight="1">
      <c r="A113" s="42">
        <f t="shared" si="1"/>
        <v>106</v>
      </c>
      <c r="B113" s="83">
        <v>2022</v>
      </c>
      <c r="C113" s="75"/>
      <c r="D113" s="76"/>
      <c r="E113" s="55" t="s">
        <v>413</v>
      </c>
      <c r="F113" s="55" t="s">
        <v>416</v>
      </c>
      <c r="G113" s="55" t="s">
        <v>417</v>
      </c>
      <c r="H113" s="77" t="s">
        <v>418</v>
      </c>
      <c r="I113" s="55" t="s">
        <v>405</v>
      </c>
      <c r="J113" s="86">
        <v>44862</v>
      </c>
      <c r="K113">
        <v>1</v>
      </c>
    </row>
    <row r="114" spans="1:21" ht="24.95" hidden="1" customHeight="1">
      <c r="A114" s="42">
        <f t="shared" si="1"/>
        <v>107</v>
      </c>
      <c r="B114" s="83">
        <v>2022</v>
      </c>
      <c r="C114" s="75" t="s">
        <v>34</v>
      </c>
      <c r="D114" s="76">
        <v>44886</v>
      </c>
      <c r="E114" s="55" t="s">
        <v>424</v>
      </c>
      <c r="F114" s="55" t="s">
        <v>378</v>
      </c>
      <c r="G114" s="55" t="s">
        <v>425</v>
      </c>
      <c r="H114" s="37" t="s">
        <v>426</v>
      </c>
      <c r="I114" s="55" t="s">
        <v>262</v>
      </c>
      <c r="J114" s="86">
        <v>44886</v>
      </c>
      <c r="K114">
        <v>1</v>
      </c>
    </row>
    <row r="115" spans="1:21" ht="24.95" hidden="1" customHeight="1">
      <c r="A115" s="42">
        <f t="shared" si="1"/>
        <v>108</v>
      </c>
      <c r="B115" s="83">
        <v>2022</v>
      </c>
      <c r="C115" s="75" t="s">
        <v>419</v>
      </c>
      <c r="D115" s="76">
        <v>44917</v>
      </c>
      <c r="E115" s="55" t="s">
        <v>420</v>
      </c>
      <c r="F115" s="55" t="s">
        <v>386</v>
      </c>
      <c r="G115" s="55" t="s">
        <v>421</v>
      </c>
      <c r="H115" s="30" t="s">
        <v>316</v>
      </c>
      <c r="I115" s="55" t="s">
        <v>359</v>
      </c>
      <c r="J115" s="86">
        <v>44917</v>
      </c>
      <c r="K115">
        <v>1</v>
      </c>
    </row>
    <row r="116" spans="1:21" ht="24.95" hidden="1" customHeight="1" thickBot="1">
      <c r="A116" s="44">
        <f t="shared" si="1"/>
        <v>109</v>
      </c>
      <c r="B116" s="45">
        <v>2022</v>
      </c>
      <c r="C116" s="79"/>
      <c r="D116" s="80"/>
      <c r="E116" s="81" t="s">
        <v>420</v>
      </c>
      <c r="F116" s="81" t="s">
        <v>360</v>
      </c>
      <c r="G116" s="81" t="s">
        <v>423</v>
      </c>
      <c r="H116" s="82" t="s">
        <v>316</v>
      </c>
      <c r="I116" s="81" t="s">
        <v>422</v>
      </c>
      <c r="J116" s="87">
        <v>44917</v>
      </c>
      <c r="K116">
        <v>1</v>
      </c>
    </row>
    <row r="117" spans="1:21" ht="24.95" hidden="1" customHeight="1">
      <c r="A117" s="50">
        <f t="shared" si="1"/>
        <v>110</v>
      </c>
      <c r="B117" s="83">
        <v>2023</v>
      </c>
      <c r="C117" s="84" t="s">
        <v>34</v>
      </c>
      <c r="D117" s="33">
        <v>44992</v>
      </c>
      <c r="E117" s="34" t="s">
        <v>420</v>
      </c>
      <c r="F117" s="34" t="s">
        <v>378</v>
      </c>
      <c r="G117" s="34" t="s">
        <v>427</v>
      </c>
      <c r="H117" s="37" t="s">
        <v>428</v>
      </c>
      <c r="I117" s="34" t="s">
        <v>429</v>
      </c>
      <c r="J117" s="85">
        <v>44993</v>
      </c>
      <c r="K117">
        <v>1</v>
      </c>
    </row>
    <row r="118" spans="1:21" ht="24.95" hidden="1" customHeight="1">
      <c r="A118" s="42">
        <f t="shared" si="1"/>
        <v>111</v>
      </c>
      <c r="B118" s="41">
        <v>2023</v>
      </c>
      <c r="C118" s="75"/>
      <c r="D118" s="76"/>
      <c r="E118" s="55" t="s">
        <v>420</v>
      </c>
      <c r="F118" s="55" t="s">
        <v>360</v>
      </c>
      <c r="G118" s="55" t="s">
        <v>423</v>
      </c>
      <c r="H118" s="77" t="s">
        <v>430</v>
      </c>
      <c r="I118" s="55" t="s">
        <v>25</v>
      </c>
      <c r="J118" s="86">
        <v>44993</v>
      </c>
      <c r="K118">
        <v>1</v>
      </c>
      <c r="L118" s="144"/>
      <c r="M118" s="144"/>
      <c r="N118" s="144"/>
      <c r="O118" s="144"/>
      <c r="P118" s="144"/>
      <c r="Q118" s="144"/>
      <c r="R118" s="144"/>
      <c r="S118" s="144"/>
      <c r="T118" s="144"/>
      <c r="U118" s="144"/>
    </row>
    <row r="119" spans="1:21" ht="24.95" hidden="1" customHeight="1">
      <c r="A119" s="42">
        <f t="shared" si="1"/>
        <v>112</v>
      </c>
      <c r="B119" s="41">
        <v>2023</v>
      </c>
      <c r="C119" s="75" t="s">
        <v>431</v>
      </c>
      <c r="D119" s="76">
        <v>45006</v>
      </c>
      <c r="E119" s="34" t="s">
        <v>432</v>
      </c>
      <c r="F119" s="34" t="s">
        <v>433</v>
      </c>
      <c r="G119" s="34" t="s">
        <v>434</v>
      </c>
      <c r="H119" s="37" t="s">
        <v>237</v>
      </c>
      <c r="I119" s="34" t="s">
        <v>370</v>
      </c>
      <c r="J119" s="86">
        <v>45006</v>
      </c>
      <c r="K119">
        <v>1</v>
      </c>
    </row>
    <row r="120" spans="1:21" s="144" customFormat="1" ht="24.95" hidden="1" customHeight="1">
      <c r="A120" s="104">
        <f t="shared" si="1"/>
        <v>113</v>
      </c>
      <c r="B120" s="105">
        <v>2023</v>
      </c>
      <c r="C120" s="106" t="s">
        <v>34</v>
      </c>
      <c r="D120" s="107">
        <v>45022</v>
      </c>
      <c r="E120" s="108" t="s">
        <v>435</v>
      </c>
      <c r="F120" s="108" t="s">
        <v>436</v>
      </c>
      <c r="G120" s="108" t="s">
        <v>437</v>
      </c>
      <c r="H120" s="109" t="s">
        <v>438</v>
      </c>
      <c r="I120" s="108" t="s">
        <v>41</v>
      </c>
      <c r="J120" s="110">
        <v>45022</v>
      </c>
      <c r="K120" s="144">
        <v>0</v>
      </c>
      <c r="L120"/>
      <c r="M120"/>
      <c r="N120"/>
      <c r="O120"/>
      <c r="P120"/>
      <c r="Q120"/>
      <c r="R120"/>
      <c r="S120"/>
      <c r="T120"/>
      <c r="U120"/>
    </row>
    <row r="121" spans="1:21" ht="24.95" hidden="1" customHeight="1">
      <c r="A121" s="42">
        <f t="shared" si="1"/>
        <v>114</v>
      </c>
      <c r="B121" s="41">
        <v>2023</v>
      </c>
      <c r="C121" s="75"/>
      <c r="D121" s="76"/>
      <c r="E121" s="55" t="s">
        <v>444</v>
      </c>
      <c r="F121" s="55" t="s">
        <v>439</v>
      </c>
      <c r="G121" s="55" t="s">
        <v>440</v>
      </c>
      <c r="H121" s="77" t="s">
        <v>430</v>
      </c>
      <c r="I121" s="55" t="s">
        <v>25</v>
      </c>
      <c r="J121" s="78"/>
      <c r="K121">
        <v>1</v>
      </c>
    </row>
    <row r="122" spans="1:21" ht="24.95" hidden="1" customHeight="1">
      <c r="A122" s="42">
        <f t="shared" si="1"/>
        <v>115</v>
      </c>
      <c r="B122" s="41">
        <v>2023</v>
      </c>
      <c r="C122" s="75"/>
      <c r="D122" s="76"/>
      <c r="E122" s="55" t="s">
        <v>435</v>
      </c>
      <c r="F122" s="55" t="s">
        <v>441</v>
      </c>
      <c r="G122" s="55" t="s">
        <v>442</v>
      </c>
      <c r="H122" s="77" t="s">
        <v>438</v>
      </c>
      <c r="I122" s="55" t="s">
        <v>25</v>
      </c>
      <c r="J122" s="78"/>
      <c r="K122">
        <v>1</v>
      </c>
    </row>
    <row r="123" spans="1:21" ht="24.95" hidden="1" customHeight="1">
      <c r="A123" s="42">
        <f t="shared" si="1"/>
        <v>116</v>
      </c>
      <c r="B123" s="41">
        <v>2023</v>
      </c>
      <c r="C123" s="75" t="s">
        <v>443</v>
      </c>
      <c r="D123" s="76">
        <v>45049</v>
      </c>
      <c r="E123" s="55" t="s">
        <v>435</v>
      </c>
      <c r="F123" s="55" t="s">
        <v>445</v>
      </c>
      <c r="G123" s="55" t="s">
        <v>446</v>
      </c>
      <c r="H123" s="77" t="s">
        <v>438</v>
      </c>
      <c r="I123" s="55" t="s">
        <v>447</v>
      </c>
      <c r="J123" s="86">
        <v>45056</v>
      </c>
      <c r="K123">
        <v>1</v>
      </c>
    </row>
    <row r="124" spans="1:21" ht="24.95" hidden="1" customHeight="1">
      <c r="A124" s="42">
        <f t="shared" si="1"/>
        <v>117</v>
      </c>
      <c r="B124" s="41">
        <v>2023</v>
      </c>
      <c r="C124" s="75" t="s">
        <v>448</v>
      </c>
      <c r="D124" s="76">
        <v>45077</v>
      </c>
      <c r="E124" s="55" t="s">
        <v>449</v>
      </c>
      <c r="F124" s="55" t="s">
        <v>450</v>
      </c>
      <c r="G124" s="55" t="s">
        <v>451</v>
      </c>
      <c r="H124" s="77" t="s">
        <v>430</v>
      </c>
      <c r="I124" s="55" t="s">
        <v>452</v>
      </c>
      <c r="J124" s="86">
        <v>45082</v>
      </c>
      <c r="K124">
        <v>1</v>
      </c>
    </row>
    <row r="125" spans="1:21" ht="24.95" hidden="1" customHeight="1">
      <c r="A125" s="42">
        <f t="shared" si="1"/>
        <v>118</v>
      </c>
      <c r="B125" s="41">
        <v>2023</v>
      </c>
      <c r="C125" s="75" t="s">
        <v>35</v>
      </c>
      <c r="D125" s="76">
        <v>45112</v>
      </c>
      <c r="E125" s="55" t="s">
        <v>178</v>
      </c>
      <c r="F125" s="55" t="s">
        <v>360</v>
      </c>
      <c r="G125" s="55" t="s">
        <v>453</v>
      </c>
      <c r="H125" s="77" t="s">
        <v>454</v>
      </c>
      <c r="I125" s="55" t="s">
        <v>455</v>
      </c>
      <c r="J125" s="86">
        <v>45112</v>
      </c>
      <c r="K125">
        <v>1</v>
      </c>
    </row>
    <row r="126" spans="1:21" ht="24.95" hidden="1" customHeight="1">
      <c r="A126" s="42">
        <f t="shared" si="1"/>
        <v>119</v>
      </c>
      <c r="B126" s="41">
        <v>2023</v>
      </c>
      <c r="C126" s="75" t="s">
        <v>473</v>
      </c>
      <c r="D126" s="76">
        <v>45182</v>
      </c>
      <c r="E126" s="55" t="s">
        <v>465</v>
      </c>
      <c r="F126" s="55" t="s">
        <v>466</v>
      </c>
      <c r="G126" s="55" t="s">
        <v>470</v>
      </c>
      <c r="H126" s="77" t="s">
        <v>438</v>
      </c>
      <c r="I126" s="55" t="s">
        <v>422</v>
      </c>
      <c r="J126" s="86">
        <v>45182</v>
      </c>
      <c r="K126">
        <v>1</v>
      </c>
    </row>
    <row r="127" spans="1:21" ht="24.95" hidden="1" customHeight="1">
      <c r="A127" s="42">
        <f t="shared" si="1"/>
        <v>120</v>
      </c>
      <c r="B127" s="41">
        <v>2023</v>
      </c>
      <c r="C127" s="75" t="s">
        <v>35</v>
      </c>
      <c r="D127" s="76">
        <v>45182</v>
      </c>
      <c r="E127" s="55" t="s">
        <v>465</v>
      </c>
      <c r="F127" s="55" t="s">
        <v>467</v>
      </c>
      <c r="G127" s="55" t="s">
        <v>471</v>
      </c>
      <c r="H127" s="77" t="s">
        <v>438</v>
      </c>
      <c r="I127" s="55" t="s">
        <v>422</v>
      </c>
      <c r="J127" s="86">
        <v>45182</v>
      </c>
      <c r="K127">
        <v>1</v>
      </c>
    </row>
    <row r="128" spans="1:21" ht="24.95" hidden="1" customHeight="1">
      <c r="A128" s="42">
        <f t="shared" si="1"/>
        <v>121</v>
      </c>
      <c r="B128" s="41">
        <v>2023</v>
      </c>
      <c r="C128" s="75" t="s">
        <v>35</v>
      </c>
      <c r="D128" s="76">
        <v>45182</v>
      </c>
      <c r="E128" s="55" t="s">
        <v>465</v>
      </c>
      <c r="F128" s="55" t="s">
        <v>468</v>
      </c>
      <c r="G128" s="55" t="s">
        <v>469</v>
      </c>
      <c r="H128" s="77" t="s">
        <v>365</v>
      </c>
      <c r="I128" s="55" t="s">
        <v>472</v>
      </c>
      <c r="J128" s="86">
        <v>45182</v>
      </c>
      <c r="K128">
        <v>1</v>
      </c>
    </row>
    <row r="129" spans="1:11" ht="24.95" hidden="1" customHeight="1">
      <c r="A129" s="42">
        <f t="shared" si="1"/>
        <v>122</v>
      </c>
      <c r="B129" s="41">
        <v>2023</v>
      </c>
      <c r="C129" s="75" t="s">
        <v>479</v>
      </c>
      <c r="D129" s="76">
        <v>45183</v>
      </c>
      <c r="E129" s="55" t="s">
        <v>474</v>
      </c>
      <c r="F129" s="55" t="s">
        <v>154</v>
      </c>
      <c r="G129" s="55" t="s">
        <v>475</v>
      </c>
      <c r="H129" s="77" t="s">
        <v>477</v>
      </c>
      <c r="I129" s="55" t="s">
        <v>452</v>
      </c>
      <c r="J129" s="86">
        <v>45183</v>
      </c>
      <c r="K129">
        <v>1</v>
      </c>
    </row>
    <row r="130" spans="1:11" ht="24.95" hidden="1" customHeight="1" thickBot="1">
      <c r="A130" s="56">
        <f t="shared" si="1"/>
        <v>123</v>
      </c>
      <c r="B130" s="91">
        <v>2023</v>
      </c>
      <c r="C130" s="92" t="s">
        <v>479</v>
      </c>
      <c r="D130" s="93">
        <v>45183</v>
      </c>
      <c r="E130" s="94" t="s">
        <v>474</v>
      </c>
      <c r="F130" s="94" t="s">
        <v>14</v>
      </c>
      <c r="G130" s="94" t="s">
        <v>476</v>
      </c>
      <c r="H130" s="95" t="s">
        <v>477</v>
      </c>
      <c r="I130" s="94" t="s">
        <v>462</v>
      </c>
      <c r="J130" s="96">
        <v>45183</v>
      </c>
      <c r="K130">
        <v>1</v>
      </c>
    </row>
    <row r="131" spans="1:11" ht="24.95" hidden="1" customHeight="1">
      <c r="A131" s="61">
        <f t="shared" si="1"/>
        <v>124</v>
      </c>
      <c r="B131" s="62">
        <v>2024</v>
      </c>
      <c r="C131" s="97" t="s">
        <v>479</v>
      </c>
      <c r="D131" s="64">
        <v>45377</v>
      </c>
      <c r="E131" s="65" t="s">
        <v>109</v>
      </c>
      <c r="F131" s="65" t="s">
        <v>360</v>
      </c>
      <c r="G131" s="65" t="s">
        <v>193</v>
      </c>
      <c r="H131" s="66" t="s">
        <v>478</v>
      </c>
      <c r="I131" s="65" t="s">
        <v>221</v>
      </c>
      <c r="J131" s="67">
        <v>45377</v>
      </c>
      <c r="K131">
        <v>1</v>
      </c>
    </row>
    <row r="132" spans="1:11" ht="24.95" hidden="1" customHeight="1">
      <c r="A132" s="42">
        <f t="shared" si="1"/>
        <v>125</v>
      </c>
      <c r="B132" s="41">
        <v>2024</v>
      </c>
      <c r="C132" s="41" t="s">
        <v>479</v>
      </c>
      <c r="D132" s="76">
        <v>45377</v>
      </c>
      <c r="E132" s="55" t="s">
        <v>109</v>
      </c>
      <c r="F132" s="55" t="s">
        <v>126</v>
      </c>
      <c r="G132" s="55" t="s">
        <v>127</v>
      </c>
      <c r="H132" s="77" t="s">
        <v>478</v>
      </c>
      <c r="I132" s="55" t="s">
        <v>452</v>
      </c>
      <c r="J132" s="86">
        <v>45377</v>
      </c>
      <c r="K132">
        <v>1</v>
      </c>
    </row>
    <row r="133" spans="1:11" ht="24.95" hidden="1" customHeight="1">
      <c r="A133" s="42">
        <f t="shared" si="1"/>
        <v>126</v>
      </c>
      <c r="B133" s="41">
        <v>2024</v>
      </c>
      <c r="C133" s="41" t="s">
        <v>479</v>
      </c>
      <c r="D133" s="76">
        <v>45420</v>
      </c>
      <c r="E133" s="55" t="s">
        <v>214</v>
      </c>
      <c r="F133" s="55" t="s">
        <v>179</v>
      </c>
      <c r="G133" s="55" t="s">
        <v>480</v>
      </c>
      <c r="H133" s="77" t="s">
        <v>481</v>
      </c>
      <c r="I133" s="55" t="s">
        <v>41</v>
      </c>
      <c r="J133" s="86">
        <v>45420</v>
      </c>
      <c r="K133">
        <v>1</v>
      </c>
    </row>
    <row r="134" spans="1:11" ht="24.95" hidden="1" customHeight="1">
      <c r="A134" s="42">
        <f t="shared" si="1"/>
        <v>127</v>
      </c>
      <c r="B134" s="41">
        <v>2024</v>
      </c>
      <c r="C134" s="41" t="s">
        <v>479</v>
      </c>
      <c r="D134" s="76">
        <v>45420</v>
      </c>
      <c r="E134" s="55" t="s">
        <v>214</v>
      </c>
      <c r="F134" s="55" t="s">
        <v>89</v>
      </c>
      <c r="G134" s="55" t="s">
        <v>482</v>
      </c>
      <c r="H134" s="77" t="s">
        <v>481</v>
      </c>
      <c r="I134" s="55" t="s">
        <v>41</v>
      </c>
      <c r="J134" s="86">
        <v>45420</v>
      </c>
      <c r="K134">
        <v>1</v>
      </c>
    </row>
    <row r="135" spans="1:11" ht="24.95" hidden="1" customHeight="1">
      <c r="A135" s="42">
        <f t="shared" si="1"/>
        <v>128</v>
      </c>
      <c r="B135" s="41">
        <v>2024</v>
      </c>
      <c r="C135" s="41" t="s">
        <v>479</v>
      </c>
      <c r="D135" s="76">
        <v>45420</v>
      </c>
      <c r="E135" s="55" t="s">
        <v>214</v>
      </c>
      <c r="F135" s="55" t="s">
        <v>154</v>
      </c>
      <c r="G135" s="55" t="s">
        <v>483</v>
      </c>
      <c r="H135" s="77" t="s">
        <v>481</v>
      </c>
      <c r="I135" s="55" t="s">
        <v>41</v>
      </c>
      <c r="J135" s="86">
        <v>45420</v>
      </c>
      <c r="K135">
        <v>1</v>
      </c>
    </row>
    <row r="136" spans="1:11" ht="24.95" hidden="1" customHeight="1">
      <c r="A136" s="42">
        <f t="shared" si="1"/>
        <v>129</v>
      </c>
      <c r="B136" s="41">
        <v>2024</v>
      </c>
      <c r="C136" s="41" t="s">
        <v>479</v>
      </c>
      <c r="D136" s="76">
        <v>45420</v>
      </c>
      <c r="E136" s="55" t="s">
        <v>214</v>
      </c>
      <c r="F136" s="55" t="s">
        <v>14</v>
      </c>
      <c r="G136" s="55" t="s">
        <v>484</v>
      </c>
      <c r="H136" s="77" t="s">
        <v>481</v>
      </c>
      <c r="I136" s="55" t="s">
        <v>221</v>
      </c>
      <c r="J136" s="86">
        <v>45420</v>
      </c>
      <c r="K136">
        <v>1</v>
      </c>
    </row>
    <row r="137" spans="1:11" ht="24.95" hidden="1" customHeight="1">
      <c r="A137" s="42">
        <f t="shared" ref="A137:A206" si="2">ROW()-7</f>
        <v>130</v>
      </c>
      <c r="B137" s="41">
        <v>2024</v>
      </c>
      <c r="C137" s="41" t="s">
        <v>479</v>
      </c>
      <c r="D137" s="76">
        <v>45420</v>
      </c>
      <c r="E137" s="55" t="s">
        <v>214</v>
      </c>
      <c r="F137" s="55" t="s">
        <v>14</v>
      </c>
      <c r="G137" s="55" t="s">
        <v>485</v>
      </c>
      <c r="H137" s="77" t="s">
        <v>481</v>
      </c>
      <c r="I137" s="55" t="s">
        <v>262</v>
      </c>
      <c r="J137" s="86">
        <v>45420</v>
      </c>
      <c r="K137">
        <v>1</v>
      </c>
    </row>
    <row r="138" spans="1:11" ht="24.95" hidden="1" customHeight="1">
      <c r="A138" s="42">
        <f t="shared" si="2"/>
        <v>131</v>
      </c>
      <c r="B138" s="41">
        <v>2024</v>
      </c>
      <c r="C138" s="41" t="s">
        <v>479</v>
      </c>
      <c r="D138" s="76">
        <v>45420</v>
      </c>
      <c r="E138" s="55" t="s">
        <v>214</v>
      </c>
      <c r="F138" s="55" t="s">
        <v>14</v>
      </c>
      <c r="G138" s="55" t="s">
        <v>486</v>
      </c>
      <c r="H138" s="77" t="s">
        <v>481</v>
      </c>
      <c r="I138" s="55" t="s">
        <v>262</v>
      </c>
      <c r="J138" s="86">
        <v>45420</v>
      </c>
      <c r="K138">
        <v>1</v>
      </c>
    </row>
    <row r="139" spans="1:11" ht="24.95" hidden="1" customHeight="1">
      <c r="A139" s="42">
        <f t="shared" si="2"/>
        <v>132</v>
      </c>
      <c r="B139" s="41">
        <v>2024</v>
      </c>
      <c r="C139" s="75"/>
      <c r="D139" s="76"/>
      <c r="E139" s="55" t="s">
        <v>487</v>
      </c>
      <c r="F139" s="55" t="s">
        <v>307</v>
      </c>
      <c r="G139" s="55" t="s">
        <v>488</v>
      </c>
      <c r="H139" s="77" t="s">
        <v>490</v>
      </c>
      <c r="I139" s="55" t="s">
        <v>489</v>
      </c>
      <c r="J139" s="86">
        <v>45532</v>
      </c>
      <c r="K139">
        <v>1</v>
      </c>
    </row>
    <row r="140" spans="1:11" ht="24.95" hidden="1" customHeight="1">
      <c r="A140" s="42">
        <f t="shared" si="2"/>
        <v>133</v>
      </c>
      <c r="B140" s="41">
        <v>2024</v>
      </c>
      <c r="C140" s="41" t="s">
        <v>479</v>
      </c>
      <c r="D140" s="76">
        <v>45539</v>
      </c>
      <c r="E140" s="55" t="s">
        <v>491</v>
      </c>
      <c r="F140" s="55" t="s">
        <v>14</v>
      </c>
      <c r="G140" s="55" t="s">
        <v>492</v>
      </c>
      <c r="H140" s="77" t="s">
        <v>477</v>
      </c>
      <c r="I140" s="55" t="s">
        <v>221</v>
      </c>
      <c r="J140" s="86">
        <v>45555</v>
      </c>
      <c r="K140">
        <v>1</v>
      </c>
    </row>
    <row r="141" spans="1:11" ht="24.95" hidden="1" customHeight="1">
      <c r="A141" s="42">
        <f t="shared" si="2"/>
        <v>134</v>
      </c>
      <c r="B141" s="41">
        <v>2024</v>
      </c>
      <c r="C141" s="41" t="s">
        <v>479</v>
      </c>
      <c r="D141" s="76">
        <v>45539</v>
      </c>
      <c r="E141" s="55" t="s">
        <v>491</v>
      </c>
      <c r="F141" s="55" t="s">
        <v>327</v>
      </c>
      <c r="G141" s="55" t="s">
        <v>493</v>
      </c>
      <c r="H141" s="77" t="s">
        <v>477</v>
      </c>
      <c r="I141" s="55" t="s">
        <v>221</v>
      </c>
      <c r="J141" s="86">
        <v>45555</v>
      </c>
      <c r="K141">
        <v>1</v>
      </c>
    </row>
    <row r="142" spans="1:11" ht="24.95" hidden="1" customHeight="1">
      <c r="A142" s="42">
        <f t="shared" si="2"/>
        <v>135</v>
      </c>
      <c r="B142" s="41">
        <v>2024</v>
      </c>
      <c r="C142" s="41" t="s">
        <v>479</v>
      </c>
      <c r="D142" s="76">
        <v>45539</v>
      </c>
      <c r="E142" s="55" t="s">
        <v>491</v>
      </c>
      <c r="F142" s="55" t="s">
        <v>28</v>
      </c>
      <c r="G142" s="55" t="s">
        <v>119</v>
      </c>
      <c r="H142" s="77" t="s">
        <v>477</v>
      </c>
      <c r="I142" s="55" t="s">
        <v>463</v>
      </c>
      <c r="J142" s="86">
        <v>45555</v>
      </c>
      <c r="K142">
        <v>1</v>
      </c>
    </row>
    <row r="143" spans="1:11" ht="24.95" hidden="1" customHeight="1">
      <c r="A143" s="42">
        <f t="shared" si="2"/>
        <v>136</v>
      </c>
      <c r="B143" s="41">
        <v>2024</v>
      </c>
      <c r="C143" s="75"/>
      <c r="D143" s="76">
        <v>45586</v>
      </c>
      <c r="E143" s="55" t="s">
        <v>109</v>
      </c>
      <c r="F143" s="55" t="s">
        <v>360</v>
      </c>
      <c r="G143" s="55" t="s">
        <v>193</v>
      </c>
      <c r="H143" s="77" t="s">
        <v>85</v>
      </c>
      <c r="I143" s="55" t="s">
        <v>463</v>
      </c>
      <c r="J143" s="86">
        <v>45586</v>
      </c>
      <c r="K143">
        <v>1</v>
      </c>
    </row>
    <row r="144" spans="1:11" ht="24.95" hidden="1" customHeight="1">
      <c r="A144" s="42">
        <f t="shared" si="2"/>
        <v>137</v>
      </c>
      <c r="B144" s="41">
        <v>2024</v>
      </c>
      <c r="C144" s="75"/>
      <c r="D144" s="76">
        <v>45586</v>
      </c>
      <c r="E144" s="55" t="s">
        <v>109</v>
      </c>
      <c r="F144" s="55" t="s">
        <v>50</v>
      </c>
      <c r="G144" s="55" t="s">
        <v>150</v>
      </c>
      <c r="H144" s="77" t="s">
        <v>497</v>
      </c>
      <c r="I144" s="55" t="s">
        <v>221</v>
      </c>
      <c r="J144" s="86">
        <v>45586</v>
      </c>
      <c r="K144">
        <v>1</v>
      </c>
    </row>
    <row r="145" spans="1:11" ht="24.95" hidden="1" customHeight="1">
      <c r="A145" s="42">
        <f t="shared" si="2"/>
        <v>138</v>
      </c>
      <c r="B145" s="41">
        <v>2024</v>
      </c>
      <c r="C145" s="75"/>
      <c r="D145" s="76">
        <v>45586</v>
      </c>
      <c r="E145" s="55" t="s">
        <v>495</v>
      </c>
      <c r="F145" s="55" t="s">
        <v>154</v>
      </c>
      <c r="G145" s="55" t="s">
        <v>496</v>
      </c>
      <c r="H145" s="77" t="s">
        <v>497</v>
      </c>
      <c r="I145" s="55" t="s">
        <v>221</v>
      </c>
      <c r="J145" s="86">
        <v>45586</v>
      </c>
      <c r="K145">
        <v>1</v>
      </c>
    </row>
    <row r="146" spans="1:11" ht="24.95" hidden="1" customHeight="1">
      <c r="A146" s="42">
        <f t="shared" si="2"/>
        <v>139</v>
      </c>
      <c r="B146" s="41">
        <v>2024</v>
      </c>
      <c r="C146" s="75"/>
      <c r="D146" s="76">
        <v>45586</v>
      </c>
      <c r="E146" s="55" t="s">
        <v>109</v>
      </c>
      <c r="F146" s="55" t="s">
        <v>360</v>
      </c>
      <c r="G146" s="55" t="s">
        <v>193</v>
      </c>
      <c r="H146" s="77" t="s">
        <v>85</v>
      </c>
      <c r="I146" s="55" t="s">
        <v>463</v>
      </c>
      <c r="J146" s="86">
        <v>45586</v>
      </c>
      <c r="K146">
        <v>1</v>
      </c>
    </row>
    <row r="147" spans="1:11" ht="24.95" hidden="1" customHeight="1">
      <c r="A147" s="42">
        <f t="shared" si="2"/>
        <v>140</v>
      </c>
      <c r="B147" s="41">
        <v>2024</v>
      </c>
      <c r="C147" s="75"/>
      <c r="D147" s="76">
        <v>45586</v>
      </c>
      <c r="E147" s="55" t="s">
        <v>498</v>
      </c>
      <c r="F147" s="55" t="s">
        <v>28</v>
      </c>
      <c r="G147" s="55" t="s">
        <v>90</v>
      </c>
      <c r="H147" s="77" t="s">
        <v>499</v>
      </c>
      <c r="I147" s="55" t="s">
        <v>221</v>
      </c>
      <c r="J147" s="86">
        <v>45586</v>
      </c>
      <c r="K147">
        <v>1</v>
      </c>
    </row>
    <row r="148" spans="1:11" ht="24.95" hidden="1" customHeight="1">
      <c r="A148" s="42">
        <f t="shared" si="2"/>
        <v>141</v>
      </c>
      <c r="B148" s="41">
        <v>2024</v>
      </c>
      <c r="C148" s="75"/>
      <c r="D148" s="76">
        <v>45586</v>
      </c>
      <c r="E148" s="55" t="s">
        <v>498</v>
      </c>
      <c r="F148" s="55" t="s">
        <v>14</v>
      </c>
      <c r="G148" s="55" t="s">
        <v>500</v>
      </c>
      <c r="H148" s="77" t="s">
        <v>499</v>
      </c>
      <c r="I148" s="55" t="s">
        <v>221</v>
      </c>
      <c r="J148" s="86">
        <v>45586</v>
      </c>
      <c r="K148">
        <v>1</v>
      </c>
    </row>
    <row r="149" spans="1:11" ht="24.95" hidden="1" customHeight="1">
      <c r="A149" s="42">
        <f t="shared" si="2"/>
        <v>142</v>
      </c>
      <c r="B149" s="41">
        <v>2024</v>
      </c>
      <c r="C149" s="75"/>
      <c r="D149" s="76">
        <v>45593</v>
      </c>
      <c r="E149" s="55" t="s">
        <v>501</v>
      </c>
      <c r="F149" s="55" t="s">
        <v>28</v>
      </c>
      <c r="G149" s="55" t="s">
        <v>502</v>
      </c>
      <c r="H149" s="77" t="s">
        <v>85</v>
      </c>
      <c r="I149" s="55" t="s">
        <v>221</v>
      </c>
      <c r="J149" s="86">
        <v>45593</v>
      </c>
      <c r="K149">
        <v>1</v>
      </c>
    </row>
    <row r="150" spans="1:11" ht="24.95" hidden="1" customHeight="1">
      <c r="A150" s="42">
        <f t="shared" si="2"/>
        <v>143</v>
      </c>
      <c r="B150" s="41">
        <v>2024</v>
      </c>
      <c r="C150" s="75"/>
      <c r="D150" s="76">
        <v>45593</v>
      </c>
      <c r="E150" s="55" t="s">
        <v>501</v>
      </c>
      <c r="F150" s="55" t="s">
        <v>503</v>
      </c>
      <c r="G150" s="55" t="s">
        <v>504</v>
      </c>
      <c r="H150" s="77" t="s">
        <v>505</v>
      </c>
      <c r="I150" s="55" t="s">
        <v>452</v>
      </c>
      <c r="J150" s="86">
        <v>45593</v>
      </c>
      <c r="K150">
        <v>1</v>
      </c>
    </row>
    <row r="151" spans="1:11" ht="24.95" hidden="1" customHeight="1">
      <c r="A151" s="42">
        <f t="shared" si="2"/>
        <v>144</v>
      </c>
      <c r="B151" s="41">
        <v>2024</v>
      </c>
      <c r="C151" s="75"/>
      <c r="D151" s="76">
        <v>45596</v>
      </c>
      <c r="E151" s="55" t="s">
        <v>506</v>
      </c>
      <c r="F151" s="55" t="s">
        <v>43</v>
      </c>
      <c r="G151" s="55" t="s">
        <v>507</v>
      </c>
      <c r="H151" s="77" t="s">
        <v>85</v>
      </c>
      <c r="I151" s="55" t="s">
        <v>221</v>
      </c>
      <c r="J151" s="86">
        <v>45596</v>
      </c>
      <c r="K151">
        <v>1</v>
      </c>
    </row>
    <row r="152" spans="1:11" ht="24.95" hidden="1" customHeight="1">
      <c r="A152" s="42">
        <f t="shared" si="2"/>
        <v>145</v>
      </c>
      <c r="B152" s="41">
        <v>2024</v>
      </c>
      <c r="C152" s="75"/>
      <c r="D152" s="76">
        <v>45596</v>
      </c>
      <c r="E152" s="55" t="s">
        <v>506</v>
      </c>
      <c r="F152" s="55" t="s">
        <v>47</v>
      </c>
      <c r="G152" s="55" t="s">
        <v>508</v>
      </c>
      <c r="H152" s="77" t="s">
        <v>509</v>
      </c>
      <c r="I152" s="55" t="s">
        <v>452</v>
      </c>
      <c r="J152" s="86">
        <v>45596</v>
      </c>
      <c r="K152">
        <v>1</v>
      </c>
    </row>
    <row r="153" spans="1:11" ht="24.95" hidden="1" customHeight="1">
      <c r="A153" s="42">
        <f t="shared" si="2"/>
        <v>146</v>
      </c>
      <c r="B153" s="41">
        <v>2024</v>
      </c>
      <c r="C153" s="75"/>
      <c r="D153" s="76">
        <v>45625</v>
      </c>
      <c r="E153" s="55" t="s">
        <v>487</v>
      </c>
      <c r="F153" s="55" t="s">
        <v>47</v>
      </c>
      <c r="G153" s="55" t="s">
        <v>510</v>
      </c>
      <c r="H153" s="77" t="s">
        <v>511</v>
      </c>
      <c r="I153" s="55" t="s">
        <v>262</v>
      </c>
      <c r="J153" s="86">
        <v>45625</v>
      </c>
      <c r="K153">
        <v>1</v>
      </c>
    </row>
    <row r="154" spans="1:11" ht="24.95" hidden="1" customHeight="1">
      <c r="A154" s="42">
        <f t="shared" si="2"/>
        <v>147</v>
      </c>
      <c r="B154" s="41">
        <v>2024</v>
      </c>
      <c r="C154" s="75"/>
      <c r="D154" s="76">
        <v>45638</v>
      </c>
      <c r="E154" s="55" t="s">
        <v>512</v>
      </c>
      <c r="F154" s="55" t="s">
        <v>14</v>
      </c>
      <c r="G154" s="55" t="s">
        <v>513</v>
      </c>
      <c r="H154" s="77" t="s">
        <v>438</v>
      </c>
      <c r="I154" s="55" t="s">
        <v>221</v>
      </c>
      <c r="J154" s="86">
        <v>45638</v>
      </c>
      <c r="K154">
        <v>1</v>
      </c>
    </row>
    <row r="155" spans="1:11" ht="24.95" hidden="1" customHeight="1" thickBot="1">
      <c r="A155" s="56">
        <f t="shared" si="2"/>
        <v>148</v>
      </c>
      <c r="B155" s="91">
        <v>2024</v>
      </c>
      <c r="C155" s="92"/>
      <c r="D155" s="93">
        <v>45638</v>
      </c>
      <c r="E155" s="94" t="s">
        <v>512</v>
      </c>
      <c r="F155" s="94" t="s">
        <v>14</v>
      </c>
      <c r="G155" s="94" t="s">
        <v>514</v>
      </c>
      <c r="H155" s="95" t="s">
        <v>438</v>
      </c>
      <c r="I155" s="94" t="s">
        <v>463</v>
      </c>
      <c r="J155" s="96">
        <v>45638</v>
      </c>
      <c r="K155">
        <v>1</v>
      </c>
    </row>
    <row r="156" spans="1:11" ht="24.95" hidden="1" customHeight="1">
      <c r="A156" s="61">
        <f t="shared" si="2"/>
        <v>149</v>
      </c>
      <c r="B156" s="62">
        <v>2025</v>
      </c>
      <c r="C156" s="97"/>
      <c r="D156" s="64">
        <v>45698</v>
      </c>
      <c r="E156" s="65" t="s">
        <v>534</v>
      </c>
      <c r="F156" s="65" t="s">
        <v>126</v>
      </c>
      <c r="G156" s="65" t="s">
        <v>516</v>
      </c>
      <c r="H156" s="66" t="s">
        <v>497</v>
      </c>
      <c r="I156" s="65" t="s">
        <v>494</v>
      </c>
      <c r="J156" s="67">
        <v>45698</v>
      </c>
      <c r="K156">
        <v>1</v>
      </c>
    </row>
    <row r="157" spans="1:11" ht="24.95" hidden="1" customHeight="1">
      <c r="A157" s="42">
        <f t="shared" si="2"/>
        <v>150</v>
      </c>
      <c r="B157" s="41">
        <v>2025</v>
      </c>
      <c r="C157" s="75"/>
      <c r="D157" s="76">
        <v>45698</v>
      </c>
      <c r="E157" s="55" t="s">
        <v>533</v>
      </c>
      <c r="F157" s="55" t="s">
        <v>126</v>
      </c>
      <c r="G157" s="55" t="s">
        <v>517</v>
      </c>
      <c r="H157" s="77" t="s">
        <v>497</v>
      </c>
      <c r="I157" s="55" t="s">
        <v>494</v>
      </c>
      <c r="J157" s="86">
        <v>45698</v>
      </c>
      <c r="K157">
        <v>1</v>
      </c>
    </row>
    <row r="158" spans="1:11" ht="24.95" hidden="1" customHeight="1">
      <c r="A158" s="42">
        <f t="shared" si="2"/>
        <v>151</v>
      </c>
      <c r="B158" s="41">
        <v>2025</v>
      </c>
      <c r="C158" s="75"/>
      <c r="D158" s="76">
        <v>45698</v>
      </c>
      <c r="E158" s="55" t="s">
        <v>515</v>
      </c>
      <c r="F158" s="55" t="s">
        <v>43</v>
      </c>
      <c r="G158" s="55" t="s">
        <v>518</v>
      </c>
      <c r="H158" s="77" t="s">
        <v>497</v>
      </c>
      <c r="I158" s="55" t="s">
        <v>494</v>
      </c>
      <c r="J158" s="86">
        <v>45698</v>
      </c>
      <c r="K158">
        <v>1</v>
      </c>
    </row>
    <row r="159" spans="1:11" ht="24.95" hidden="1" customHeight="1">
      <c r="A159" s="42">
        <f t="shared" si="2"/>
        <v>152</v>
      </c>
      <c r="B159" s="41">
        <v>2025</v>
      </c>
      <c r="C159" s="75"/>
      <c r="D159" s="76">
        <v>45698</v>
      </c>
      <c r="E159" s="55" t="s">
        <v>519</v>
      </c>
      <c r="F159" s="55" t="s">
        <v>37</v>
      </c>
      <c r="G159" s="55" t="s">
        <v>520</v>
      </c>
      <c r="H159" s="77" t="s">
        <v>521</v>
      </c>
      <c r="I159" s="55" t="s">
        <v>221</v>
      </c>
      <c r="J159" s="86">
        <v>45698</v>
      </c>
      <c r="K159">
        <v>1</v>
      </c>
    </row>
    <row r="160" spans="1:11" ht="24.95" hidden="1" customHeight="1">
      <c r="A160" s="119">
        <f t="shared" si="2"/>
        <v>153</v>
      </c>
      <c r="B160" s="120">
        <v>2025</v>
      </c>
      <c r="C160" s="121" t="s">
        <v>34</v>
      </c>
      <c r="D160" s="122">
        <v>45771</v>
      </c>
      <c r="E160" s="123" t="s">
        <v>522</v>
      </c>
      <c r="F160" s="123" t="s">
        <v>28</v>
      </c>
      <c r="G160" s="123" t="s">
        <v>523</v>
      </c>
      <c r="H160" s="124" t="s">
        <v>365</v>
      </c>
      <c r="I160" s="123" t="s">
        <v>221</v>
      </c>
      <c r="J160" s="125">
        <v>45775</v>
      </c>
      <c r="K160">
        <v>1</v>
      </c>
    </row>
    <row r="161" spans="1:21" ht="24.95" hidden="1" customHeight="1">
      <c r="A161" s="119">
        <f t="shared" si="2"/>
        <v>154</v>
      </c>
      <c r="B161" s="120">
        <v>2025</v>
      </c>
      <c r="C161" s="121" t="s">
        <v>34</v>
      </c>
      <c r="D161" s="122">
        <v>45771</v>
      </c>
      <c r="E161" s="123" t="s">
        <v>522</v>
      </c>
      <c r="F161" s="123" t="s">
        <v>89</v>
      </c>
      <c r="G161" s="123" t="s">
        <v>524</v>
      </c>
      <c r="H161" s="124" t="s">
        <v>481</v>
      </c>
      <c r="I161" s="123" t="s">
        <v>452</v>
      </c>
      <c r="J161" s="125">
        <v>45775</v>
      </c>
      <c r="K161">
        <v>1</v>
      </c>
    </row>
    <row r="162" spans="1:21" ht="24.95" hidden="1" customHeight="1">
      <c r="A162" s="119">
        <f t="shared" si="2"/>
        <v>155</v>
      </c>
      <c r="B162" s="120">
        <v>2025</v>
      </c>
      <c r="C162" s="121" t="s">
        <v>34</v>
      </c>
      <c r="D162" s="122">
        <v>45771</v>
      </c>
      <c r="E162" s="123" t="s">
        <v>522</v>
      </c>
      <c r="F162" s="123" t="s">
        <v>154</v>
      </c>
      <c r="G162" s="123" t="s">
        <v>525</v>
      </c>
      <c r="H162" s="124" t="s">
        <v>481</v>
      </c>
      <c r="I162" s="123" t="s">
        <v>221</v>
      </c>
      <c r="J162" s="125">
        <v>45775</v>
      </c>
      <c r="K162">
        <v>1</v>
      </c>
    </row>
    <row r="163" spans="1:21" ht="24.95" hidden="1" customHeight="1">
      <c r="A163" s="42">
        <f t="shared" si="2"/>
        <v>156</v>
      </c>
      <c r="B163" s="41">
        <v>2025</v>
      </c>
      <c r="C163" s="75"/>
      <c r="D163" s="76">
        <v>45800</v>
      </c>
      <c r="E163" s="55" t="s">
        <v>526</v>
      </c>
      <c r="F163" s="55" t="s">
        <v>28</v>
      </c>
      <c r="G163" s="55" t="s">
        <v>527</v>
      </c>
      <c r="H163" s="77" t="s">
        <v>365</v>
      </c>
      <c r="I163" s="55" t="s">
        <v>494</v>
      </c>
      <c r="J163" s="86">
        <v>45800</v>
      </c>
      <c r="K163">
        <v>1</v>
      </c>
    </row>
    <row r="164" spans="1:21" ht="24.95" hidden="1" customHeight="1">
      <c r="A164" s="42">
        <f t="shared" si="2"/>
        <v>157</v>
      </c>
      <c r="B164" s="41">
        <v>2025</v>
      </c>
      <c r="C164" s="75"/>
      <c r="D164" s="76">
        <v>45800</v>
      </c>
      <c r="E164" s="55" t="s">
        <v>526</v>
      </c>
      <c r="F164" s="55" t="s">
        <v>89</v>
      </c>
      <c r="G164" s="55" t="s">
        <v>528</v>
      </c>
      <c r="H164" s="77" t="s">
        <v>530</v>
      </c>
      <c r="I164" s="55" t="s">
        <v>221</v>
      </c>
      <c r="J164" s="86">
        <v>45800</v>
      </c>
      <c r="K164">
        <v>1</v>
      </c>
    </row>
    <row r="165" spans="1:21" ht="24.95" hidden="1" customHeight="1">
      <c r="A165" s="42">
        <f t="shared" si="2"/>
        <v>158</v>
      </c>
      <c r="B165" s="41">
        <v>2025</v>
      </c>
      <c r="C165" s="75"/>
      <c r="D165" s="76">
        <v>45800</v>
      </c>
      <c r="E165" s="55" t="s">
        <v>526</v>
      </c>
      <c r="F165" s="55" t="s">
        <v>14</v>
      </c>
      <c r="G165" s="55" t="s">
        <v>529</v>
      </c>
      <c r="H165" s="77" t="s">
        <v>530</v>
      </c>
      <c r="I165" s="55" t="s">
        <v>221</v>
      </c>
      <c r="J165" s="86">
        <v>45800</v>
      </c>
      <c r="K165">
        <v>1</v>
      </c>
    </row>
    <row r="166" spans="1:21" ht="24.95" hidden="1" customHeight="1">
      <c r="A166" s="119">
        <f t="shared" si="2"/>
        <v>159</v>
      </c>
      <c r="B166" s="120">
        <v>2025</v>
      </c>
      <c r="C166" s="121"/>
      <c r="D166" s="122">
        <v>45800</v>
      </c>
      <c r="E166" s="123" t="s">
        <v>444</v>
      </c>
      <c r="F166" s="123" t="s">
        <v>50</v>
      </c>
      <c r="G166" s="123" t="s">
        <v>531</v>
      </c>
      <c r="H166" s="124" t="s">
        <v>532</v>
      </c>
      <c r="I166" s="123" t="s">
        <v>452</v>
      </c>
      <c r="J166" s="125">
        <v>45800</v>
      </c>
      <c r="K166">
        <v>1</v>
      </c>
    </row>
    <row r="167" spans="1:21" ht="24.95" hidden="1" customHeight="1">
      <c r="A167" s="42">
        <f t="shared" si="2"/>
        <v>160</v>
      </c>
      <c r="B167" s="41">
        <v>2025</v>
      </c>
      <c r="C167" s="75"/>
      <c r="D167" s="76">
        <v>45800</v>
      </c>
      <c r="E167" s="55" t="s">
        <v>535</v>
      </c>
      <c r="F167" s="55" t="s">
        <v>50</v>
      </c>
      <c r="G167" s="55" t="s">
        <v>286</v>
      </c>
      <c r="H167" s="77" t="s">
        <v>536</v>
      </c>
      <c r="I167" s="55" t="s">
        <v>452</v>
      </c>
      <c r="J167" s="86">
        <v>45800</v>
      </c>
      <c r="K167">
        <v>1</v>
      </c>
    </row>
    <row r="168" spans="1:21" ht="24.95" hidden="1" customHeight="1">
      <c r="A168" s="42">
        <f t="shared" si="2"/>
        <v>161</v>
      </c>
      <c r="B168" s="41">
        <v>2025</v>
      </c>
      <c r="C168" s="75"/>
      <c r="D168" s="76">
        <v>45800</v>
      </c>
      <c r="E168" s="55" t="s">
        <v>537</v>
      </c>
      <c r="F168" s="55" t="s">
        <v>50</v>
      </c>
      <c r="G168" s="55" t="s">
        <v>538</v>
      </c>
      <c r="H168" s="77" t="s">
        <v>497</v>
      </c>
      <c r="I168" s="55" t="s">
        <v>494</v>
      </c>
      <c r="J168" s="86">
        <v>45800</v>
      </c>
      <c r="K168">
        <v>1</v>
      </c>
    </row>
    <row r="169" spans="1:21" ht="24.95" hidden="1" customHeight="1">
      <c r="A169" s="119">
        <f t="shared" si="2"/>
        <v>162</v>
      </c>
      <c r="B169" s="120">
        <v>2025</v>
      </c>
      <c r="C169" s="121" t="s">
        <v>34</v>
      </c>
      <c r="D169" s="122">
        <v>45862</v>
      </c>
      <c r="E169" s="123" t="s">
        <v>539</v>
      </c>
      <c r="F169" s="123" t="s">
        <v>43</v>
      </c>
      <c r="G169" s="123" t="s">
        <v>540</v>
      </c>
      <c r="H169" s="124" t="s">
        <v>544</v>
      </c>
      <c r="I169" s="123" t="s">
        <v>550</v>
      </c>
      <c r="J169" s="125">
        <v>45901</v>
      </c>
      <c r="K169">
        <v>1</v>
      </c>
    </row>
    <row r="170" spans="1:21" ht="24.95" hidden="1" customHeight="1">
      <c r="A170" s="119">
        <f t="shared" si="2"/>
        <v>163</v>
      </c>
      <c r="B170" s="120">
        <v>2025</v>
      </c>
      <c r="C170" s="121" t="s">
        <v>34</v>
      </c>
      <c r="D170" s="122">
        <v>45862</v>
      </c>
      <c r="E170" s="123" t="s">
        <v>539</v>
      </c>
      <c r="F170" s="123" t="s">
        <v>37</v>
      </c>
      <c r="G170" s="123" t="s">
        <v>541</v>
      </c>
      <c r="H170" s="124" t="s">
        <v>544</v>
      </c>
      <c r="I170" s="123" t="s">
        <v>452</v>
      </c>
      <c r="J170" s="125">
        <v>45901</v>
      </c>
      <c r="K170">
        <v>1</v>
      </c>
    </row>
    <row r="171" spans="1:21" ht="24.95" hidden="1" customHeight="1">
      <c r="A171" s="119">
        <f t="shared" si="2"/>
        <v>164</v>
      </c>
      <c r="B171" s="120">
        <v>2025</v>
      </c>
      <c r="C171" s="121" t="s">
        <v>34</v>
      </c>
      <c r="D171" s="122">
        <v>45862</v>
      </c>
      <c r="E171" s="123" t="s">
        <v>539</v>
      </c>
      <c r="F171" s="123" t="s">
        <v>14</v>
      </c>
      <c r="G171" s="123" t="s">
        <v>542</v>
      </c>
      <c r="H171" s="124" t="s">
        <v>545</v>
      </c>
      <c r="I171" s="123" t="s">
        <v>253</v>
      </c>
      <c r="J171" s="125">
        <v>45901</v>
      </c>
      <c r="K171">
        <v>1</v>
      </c>
    </row>
    <row r="172" spans="1:21" ht="24.95" hidden="1" customHeight="1">
      <c r="A172" s="119">
        <f t="shared" si="2"/>
        <v>165</v>
      </c>
      <c r="B172" s="120">
        <v>2025</v>
      </c>
      <c r="C172" s="121" t="s">
        <v>34</v>
      </c>
      <c r="D172" s="122">
        <v>45862</v>
      </c>
      <c r="E172" s="123" t="s">
        <v>539</v>
      </c>
      <c r="F172" s="123" t="s">
        <v>14</v>
      </c>
      <c r="G172" s="123" t="s">
        <v>543</v>
      </c>
      <c r="H172" s="124" t="s">
        <v>530</v>
      </c>
      <c r="I172" s="123" t="s">
        <v>253</v>
      </c>
      <c r="J172" s="125">
        <v>45901</v>
      </c>
      <c r="K172">
        <v>1</v>
      </c>
    </row>
    <row r="173" spans="1:21" ht="24.95" hidden="1" customHeight="1">
      <c r="A173" s="42">
        <f t="shared" si="2"/>
        <v>166</v>
      </c>
      <c r="B173" s="41">
        <v>2025</v>
      </c>
      <c r="C173" s="75"/>
      <c r="D173" s="76">
        <v>45867</v>
      </c>
      <c r="E173" s="55" t="s">
        <v>534</v>
      </c>
      <c r="F173" s="55" t="s">
        <v>50</v>
      </c>
      <c r="G173" s="55" t="s">
        <v>135</v>
      </c>
      <c r="H173" s="77" t="s">
        <v>547</v>
      </c>
      <c r="I173" s="51" t="s">
        <v>17</v>
      </c>
      <c r="J173" s="86">
        <v>45867</v>
      </c>
      <c r="K173">
        <v>1</v>
      </c>
    </row>
    <row r="174" spans="1:21" ht="24.95" hidden="1" customHeight="1">
      <c r="A174" s="42">
        <f t="shared" si="2"/>
        <v>167</v>
      </c>
      <c r="B174" s="41">
        <v>2025</v>
      </c>
      <c r="C174" s="75"/>
      <c r="D174" s="98">
        <v>45880</v>
      </c>
      <c r="E174" s="55" t="s">
        <v>537</v>
      </c>
      <c r="F174" s="55" t="s">
        <v>360</v>
      </c>
      <c r="G174" s="55" t="s">
        <v>548</v>
      </c>
      <c r="H174" s="77" t="s">
        <v>549</v>
      </c>
      <c r="I174" s="101" t="s">
        <v>463</v>
      </c>
      <c r="J174" s="103">
        <v>45880</v>
      </c>
      <c r="K174">
        <v>1</v>
      </c>
      <c r="L174" s="144"/>
      <c r="M174" s="144"/>
      <c r="N174" s="144"/>
      <c r="O174" s="144"/>
      <c r="P174" s="144"/>
      <c r="Q174" s="144"/>
      <c r="R174" s="144"/>
      <c r="S174" s="144"/>
      <c r="T174" s="144"/>
      <c r="U174" s="144"/>
    </row>
    <row r="175" spans="1:21" ht="24.95" hidden="1" customHeight="1">
      <c r="A175" s="42">
        <f t="shared" si="2"/>
        <v>168</v>
      </c>
      <c r="B175" s="41">
        <v>2025</v>
      </c>
      <c r="C175" s="75"/>
      <c r="D175" s="98">
        <v>45880</v>
      </c>
      <c r="E175" s="55" t="s">
        <v>537</v>
      </c>
      <c r="F175" s="55" t="s">
        <v>50</v>
      </c>
      <c r="G175" s="55" t="s">
        <v>538</v>
      </c>
      <c r="H175" s="77" t="s">
        <v>549</v>
      </c>
      <c r="I175" s="101" t="s">
        <v>221</v>
      </c>
      <c r="J175" s="103">
        <v>45880</v>
      </c>
      <c r="K175">
        <v>1</v>
      </c>
    </row>
    <row r="176" spans="1:21" s="144" customFormat="1" ht="24.95" hidden="1" customHeight="1" thickBot="1">
      <c r="A176" s="145">
        <f t="shared" si="2"/>
        <v>169</v>
      </c>
      <c r="B176" s="146">
        <v>2025</v>
      </c>
      <c r="C176" s="147" t="s">
        <v>34</v>
      </c>
      <c r="D176" s="148">
        <v>45903</v>
      </c>
      <c r="E176" s="149" t="s">
        <v>539</v>
      </c>
      <c r="F176" s="149" t="s">
        <v>14</v>
      </c>
      <c r="G176" s="149" t="s">
        <v>543</v>
      </c>
      <c r="H176" s="150" t="s">
        <v>551</v>
      </c>
      <c r="I176" s="149" t="s">
        <v>552</v>
      </c>
      <c r="J176" s="151">
        <v>45903</v>
      </c>
      <c r="K176" s="144">
        <v>0</v>
      </c>
      <c r="L176"/>
      <c r="M176"/>
      <c r="N176"/>
      <c r="O176"/>
      <c r="P176"/>
      <c r="Q176"/>
      <c r="R176"/>
      <c r="S176"/>
      <c r="T176"/>
      <c r="U176"/>
    </row>
    <row r="177" spans="1:11" ht="24.95" customHeight="1">
      <c r="A177" s="112">
        <f t="shared" si="2"/>
        <v>170</v>
      </c>
      <c r="B177" s="113">
        <v>2026</v>
      </c>
      <c r="C177" s="114"/>
      <c r="D177" s="115">
        <v>46120</v>
      </c>
      <c r="E177" s="116" t="s">
        <v>554</v>
      </c>
      <c r="F177" s="116" t="s">
        <v>503</v>
      </c>
      <c r="G177" s="116" t="s">
        <v>556</v>
      </c>
      <c r="H177" s="117" t="s">
        <v>572</v>
      </c>
      <c r="I177" s="116" t="s">
        <v>463</v>
      </c>
      <c r="J177" s="118">
        <v>46120</v>
      </c>
      <c r="K177">
        <v>1</v>
      </c>
    </row>
    <row r="178" spans="1:11" ht="24.95" customHeight="1">
      <c r="A178" s="42">
        <f t="shared" si="2"/>
        <v>171</v>
      </c>
      <c r="B178" s="99">
        <v>2026</v>
      </c>
      <c r="C178" s="100"/>
      <c r="D178" s="98">
        <v>46120</v>
      </c>
      <c r="E178" s="101" t="s">
        <v>377</v>
      </c>
      <c r="F178" s="101" t="s">
        <v>28</v>
      </c>
      <c r="G178" s="101" t="s">
        <v>469</v>
      </c>
      <c r="H178" s="102" t="s">
        <v>572</v>
      </c>
      <c r="I178" s="101" t="s">
        <v>221</v>
      </c>
      <c r="J178" s="103">
        <v>46120</v>
      </c>
      <c r="K178">
        <v>1</v>
      </c>
    </row>
    <row r="179" spans="1:11" ht="24.95" customHeight="1">
      <c r="A179" s="42">
        <f t="shared" si="2"/>
        <v>172</v>
      </c>
      <c r="B179" s="99">
        <v>2026</v>
      </c>
      <c r="C179" s="100"/>
      <c r="D179" s="98">
        <v>46120</v>
      </c>
      <c r="E179" s="101" t="s">
        <v>377</v>
      </c>
      <c r="F179" s="101" t="s">
        <v>179</v>
      </c>
      <c r="G179" s="101" t="s">
        <v>29</v>
      </c>
      <c r="H179" s="102" t="s">
        <v>572</v>
      </c>
      <c r="I179" s="101" t="s">
        <v>494</v>
      </c>
      <c r="J179" s="103">
        <v>46120</v>
      </c>
      <c r="K179">
        <v>1</v>
      </c>
    </row>
    <row r="180" spans="1:11" ht="24.95" customHeight="1">
      <c r="A180" s="111">
        <f t="shared" si="2"/>
        <v>173</v>
      </c>
      <c r="B180" s="99">
        <v>2026</v>
      </c>
      <c r="C180" s="100"/>
      <c r="D180" s="98">
        <v>46120</v>
      </c>
      <c r="E180" s="101" t="s">
        <v>537</v>
      </c>
      <c r="F180" s="101" t="s">
        <v>50</v>
      </c>
      <c r="G180" s="101" t="s">
        <v>559</v>
      </c>
      <c r="H180" s="102" t="s">
        <v>572</v>
      </c>
      <c r="I180" s="101" t="s">
        <v>494</v>
      </c>
      <c r="J180" s="103">
        <v>46120</v>
      </c>
      <c r="K180">
        <v>1</v>
      </c>
    </row>
    <row r="181" spans="1:11" ht="24.95" customHeight="1">
      <c r="A181" s="119">
        <f t="shared" si="2"/>
        <v>174</v>
      </c>
      <c r="B181" s="120">
        <v>2026</v>
      </c>
      <c r="C181" s="121"/>
      <c r="D181" s="122">
        <v>46120</v>
      </c>
      <c r="E181" s="123" t="s">
        <v>557</v>
      </c>
      <c r="F181" s="123" t="s">
        <v>28</v>
      </c>
      <c r="G181" s="123" t="s">
        <v>558</v>
      </c>
      <c r="H181" s="124" t="s">
        <v>572</v>
      </c>
      <c r="I181" s="123" t="s">
        <v>494</v>
      </c>
      <c r="J181" s="125">
        <v>46120</v>
      </c>
      <c r="K181">
        <v>1</v>
      </c>
    </row>
    <row r="182" spans="1:11" ht="24.95" customHeight="1">
      <c r="A182" s="119">
        <f t="shared" si="2"/>
        <v>175</v>
      </c>
      <c r="B182" s="120">
        <v>2026</v>
      </c>
      <c r="C182" s="121"/>
      <c r="D182" s="122">
        <v>46120</v>
      </c>
      <c r="E182" s="123" t="s">
        <v>535</v>
      </c>
      <c r="F182" s="123" t="s">
        <v>560</v>
      </c>
      <c r="G182" s="123" t="s">
        <v>561</v>
      </c>
      <c r="H182" s="124" t="s">
        <v>572</v>
      </c>
      <c r="I182" s="123" t="s">
        <v>494</v>
      </c>
      <c r="J182" s="125">
        <v>46120</v>
      </c>
      <c r="K182">
        <v>1</v>
      </c>
    </row>
    <row r="183" spans="1:11" ht="24.95" customHeight="1">
      <c r="A183" s="42">
        <f t="shared" si="2"/>
        <v>176</v>
      </c>
      <c r="B183" s="99">
        <v>2026</v>
      </c>
      <c r="C183" s="100"/>
      <c r="D183" s="98">
        <v>46120</v>
      </c>
      <c r="E183" s="101" t="s">
        <v>562</v>
      </c>
      <c r="F183" s="101" t="s">
        <v>28</v>
      </c>
      <c r="G183" s="101" t="s">
        <v>563</v>
      </c>
      <c r="H183" s="102" t="s">
        <v>572</v>
      </c>
      <c r="I183" s="101" t="s">
        <v>494</v>
      </c>
      <c r="J183" s="103">
        <v>46120</v>
      </c>
      <c r="K183">
        <v>1</v>
      </c>
    </row>
    <row r="184" spans="1:11" ht="24.95" customHeight="1">
      <c r="A184" s="42">
        <f t="shared" si="2"/>
        <v>177</v>
      </c>
      <c r="B184" s="99">
        <v>2026</v>
      </c>
      <c r="C184" s="100"/>
      <c r="D184" s="98">
        <v>46120</v>
      </c>
      <c r="E184" s="101" t="s">
        <v>537</v>
      </c>
      <c r="F184" s="101" t="s">
        <v>50</v>
      </c>
      <c r="G184" s="101" t="s">
        <v>538</v>
      </c>
      <c r="H184" s="102" t="s">
        <v>572</v>
      </c>
      <c r="I184" s="101" t="s">
        <v>494</v>
      </c>
      <c r="J184" s="103">
        <v>46120</v>
      </c>
      <c r="K184">
        <v>1</v>
      </c>
    </row>
    <row r="185" spans="1:11" ht="24.95" customHeight="1">
      <c r="A185" s="42">
        <f t="shared" si="2"/>
        <v>178</v>
      </c>
      <c r="B185" s="99">
        <v>2026</v>
      </c>
      <c r="C185" s="100"/>
      <c r="D185" s="98">
        <v>46120</v>
      </c>
      <c r="E185" s="101" t="s">
        <v>564</v>
      </c>
      <c r="F185" s="101" t="s">
        <v>28</v>
      </c>
      <c r="G185" s="101" t="s">
        <v>565</v>
      </c>
      <c r="H185" s="102" t="s">
        <v>572</v>
      </c>
      <c r="I185" s="101" t="s">
        <v>494</v>
      </c>
      <c r="J185" s="103">
        <v>46120</v>
      </c>
      <c r="K185">
        <v>1</v>
      </c>
    </row>
    <row r="186" spans="1:11" ht="24.95" customHeight="1">
      <c r="A186" s="42">
        <f t="shared" si="2"/>
        <v>179</v>
      </c>
      <c r="B186" s="99">
        <v>2026</v>
      </c>
      <c r="C186" s="100"/>
      <c r="D186" s="98">
        <v>46120</v>
      </c>
      <c r="E186" s="101" t="s">
        <v>534</v>
      </c>
      <c r="F186" s="101" t="s">
        <v>126</v>
      </c>
      <c r="G186" s="101" t="s">
        <v>566</v>
      </c>
      <c r="H186" s="102" t="s">
        <v>572</v>
      </c>
      <c r="I186" s="101" t="s">
        <v>494</v>
      </c>
      <c r="J186" s="103">
        <v>46120</v>
      </c>
      <c r="K186">
        <v>1</v>
      </c>
    </row>
    <row r="187" spans="1:11" ht="24.95" customHeight="1">
      <c r="A187" s="119">
        <f t="shared" si="2"/>
        <v>180</v>
      </c>
      <c r="B187" s="120">
        <v>2026</v>
      </c>
      <c r="C187" s="121"/>
      <c r="D187" s="122">
        <v>46120</v>
      </c>
      <c r="E187" s="123" t="s">
        <v>553</v>
      </c>
      <c r="F187" s="123" t="s">
        <v>555</v>
      </c>
      <c r="G187" s="123" t="s">
        <v>567</v>
      </c>
      <c r="H187" s="124" t="s">
        <v>572</v>
      </c>
      <c r="I187" s="123" t="s">
        <v>494</v>
      </c>
      <c r="J187" s="125">
        <v>46120</v>
      </c>
      <c r="K187">
        <v>1</v>
      </c>
    </row>
    <row r="188" spans="1:11" ht="24.95" customHeight="1">
      <c r="A188" s="42">
        <f t="shared" si="2"/>
        <v>181</v>
      </c>
      <c r="B188" s="99">
        <v>2026</v>
      </c>
      <c r="C188" s="100"/>
      <c r="D188" s="98">
        <v>46120</v>
      </c>
      <c r="E188" s="101" t="s">
        <v>568</v>
      </c>
      <c r="F188" s="101" t="s">
        <v>28</v>
      </c>
      <c r="G188" s="101" t="s">
        <v>569</v>
      </c>
      <c r="H188" s="102" t="s">
        <v>572</v>
      </c>
      <c r="I188" s="101" t="s">
        <v>494</v>
      </c>
      <c r="J188" s="103">
        <v>46120</v>
      </c>
      <c r="K188">
        <v>1</v>
      </c>
    </row>
    <row r="189" spans="1:11" ht="24.95" customHeight="1">
      <c r="A189" s="42">
        <f t="shared" si="2"/>
        <v>182</v>
      </c>
      <c r="B189" s="99">
        <v>2026</v>
      </c>
      <c r="C189" s="100"/>
      <c r="D189" s="98">
        <v>46120</v>
      </c>
      <c r="E189" s="101" t="s">
        <v>537</v>
      </c>
      <c r="F189" s="101" t="s">
        <v>50</v>
      </c>
      <c r="G189" s="101" t="s">
        <v>538</v>
      </c>
      <c r="H189" s="102" t="s">
        <v>572</v>
      </c>
      <c r="I189" s="101" t="s">
        <v>494</v>
      </c>
      <c r="J189" s="103">
        <v>46120</v>
      </c>
      <c r="K189">
        <v>1</v>
      </c>
    </row>
    <row r="190" spans="1:11" ht="24.95" customHeight="1">
      <c r="A190" s="42">
        <f t="shared" si="2"/>
        <v>183</v>
      </c>
      <c r="B190" s="99">
        <v>2026</v>
      </c>
      <c r="C190" s="100"/>
      <c r="D190" s="98">
        <v>46120</v>
      </c>
      <c r="E190" s="101" t="s">
        <v>570</v>
      </c>
      <c r="F190" s="101" t="s">
        <v>28</v>
      </c>
      <c r="G190" s="101" t="s">
        <v>571</v>
      </c>
      <c r="H190" s="102" t="s">
        <v>572</v>
      </c>
      <c r="I190" s="101" t="s">
        <v>494</v>
      </c>
      <c r="J190" s="103">
        <v>46120</v>
      </c>
      <c r="K190">
        <v>1</v>
      </c>
    </row>
    <row r="191" spans="1:11" ht="24.95" customHeight="1">
      <c r="A191" s="42">
        <f t="shared" si="2"/>
        <v>184</v>
      </c>
      <c r="B191" s="99">
        <v>2026</v>
      </c>
      <c r="C191" s="100"/>
      <c r="D191" s="98">
        <v>46120</v>
      </c>
      <c r="E191" s="101" t="s">
        <v>537</v>
      </c>
      <c r="F191" s="101" t="s">
        <v>50</v>
      </c>
      <c r="G191" s="101" t="s">
        <v>538</v>
      </c>
      <c r="H191" s="102" t="s">
        <v>572</v>
      </c>
      <c r="I191" s="101" t="s">
        <v>494</v>
      </c>
      <c r="J191" s="103">
        <v>46120</v>
      </c>
      <c r="K191">
        <v>1</v>
      </c>
    </row>
    <row r="192" spans="1:11" ht="24.95" customHeight="1">
      <c r="A192" s="119">
        <f t="shared" si="2"/>
        <v>185</v>
      </c>
      <c r="B192" s="120">
        <v>2026</v>
      </c>
      <c r="C192" s="121" t="s">
        <v>479</v>
      </c>
      <c r="D192" s="122">
        <v>46127</v>
      </c>
      <c r="E192" s="123" t="s">
        <v>534</v>
      </c>
      <c r="F192" s="123" t="s">
        <v>126</v>
      </c>
      <c r="G192" s="123" t="s">
        <v>566</v>
      </c>
      <c r="H192" s="124" t="s">
        <v>575</v>
      </c>
      <c r="I192" s="123" t="s">
        <v>221</v>
      </c>
      <c r="J192" s="125">
        <v>46127</v>
      </c>
      <c r="K192">
        <v>1</v>
      </c>
    </row>
    <row r="193" spans="1:14" ht="24.95" customHeight="1">
      <c r="A193" s="42">
        <f t="shared" si="2"/>
        <v>186</v>
      </c>
      <c r="B193" s="99">
        <v>2026</v>
      </c>
      <c r="C193" s="100" t="s">
        <v>479</v>
      </c>
      <c r="D193" s="98">
        <v>46127</v>
      </c>
      <c r="E193" s="101" t="s">
        <v>236</v>
      </c>
      <c r="F193" s="101" t="s">
        <v>28</v>
      </c>
      <c r="G193" s="101" t="s">
        <v>240</v>
      </c>
      <c r="H193" s="102" t="s">
        <v>575</v>
      </c>
      <c r="I193" s="101" t="s">
        <v>576</v>
      </c>
      <c r="J193" s="103">
        <v>46127</v>
      </c>
      <c r="K193">
        <v>1</v>
      </c>
    </row>
    <row r="194" spans="1:14" ht="24.95" customHeight="1">
      <c r="A194" s="42">
        <f t="shared" si="2"/>
        <v>187</v>
      </c>
      <c r="B194" s="99">
        <v>2026</v>
      </c>
      <c r="C194" s="100" t="s">
        <v>479</v>
      </c>
      <c r="D194" s="98">
        <v>46127</v>
      </c>
      <c r="E194" s="101" t="s">
        <v>236</v>
      </c>
      <c r="F194" s="101" t="s">
        <v>14</v>
      </c>
      <c r="G194" s="101" t="s">
        <v>573</v>
      </c>
      <c r="H194" s="102" t="s">
        <v>575</v>
      </c>
      <c r="I194" s="101" t="s">
        <v>577</v>
      </c>
      <c r="J194" s="103">
        <v>46127</v>
      </c>
      <c r="K194">
        <v>1</v>
      </c>
    </row>
    <row r="195" spans="1:14" ht="24.95" customHeight="1">
      <c r="A195" s="42">
        <f t="shared" si="2"/>
        <v>188</v>
      </c>
      <c r="B195" s="99">
        <v>2026</v>
      </c>
      <c r="C195" s="100" t="s">
        <v>479</v>
      </c>
      <c r="D195" s="98">
        <v>46127</v>
      </c>
      <c r="E195" s="101" t="s">
        <v>236</v>
      </c>
      <c r="F195" s="101" t="s">
        <v>14</v>
      </c>
      <c r="G195" s="101" t="s">
        <v>574</v>
      </c>
      <c r="H195" s="102" t="s">
        <v>575</v>
      </c>
      <c r="I195" s="101" t="s">
        <v>577</v>
      </c>
      <c r="J195" s="103">
        <v>46127</v>
      </c>
      <c r="K195">
        <v>1</v>
      </c>
    </row>
    <row r="196" spans="1:14" ht="24.95" customHeight="1">
      <c r="A196" s="165">
        <f t="shared" si="2"/>
        <v>189</v>
      </c>
      <c r="B196" s="166">
        <v>2026</v>
      </c>
      <c r="C196" s="167"/>
      <c r="D196" s="168">
        <v>46142</v>
      </c>
      <c r="E196" s="169" t="s">
        <v>568</v>
      </c>
      <c r="F196" s="169" t="s">
        <v>28</v>
      </c>
      <c r="G196" s="169" t="s">
        <v>569</v>
      </c>
      <c r="H196" s="170" t="s">
        <v>578</v>
      </c>
      <c r="I196" s="169" t="s">
        <v>494</v>
      </c>
      <c r="J196" s="171"/>
      <c r="K196" s="172"/>
      <c r="N196" s="134"/>
    </row>
    <row r="197" spans="1:14" ht="24.95" customHeight="1">
      <c r="A197" s="165">
        <f t="shared" si="2"/>
        <v>190</v>
      </c>
      <c r="B197" s="166">
        <v>2026</v>
      </c>
      <c r="C197" s="167"/>
      <c r="D197" s="168">
        <v>46142</v>
      </c>
      <c r="E197" s="169" t="s">
        <v>537</v>
      </c>
      <c r="F197" s="169" t="s">
        <v>50</v>
      </c>
      <c r="G197" s="169" t="s">
        <v>538</v>
      </c>
      <c r="H197" s="170" t="s">
        <v>578</v>
      </c>
      <c r="I197" s="169" t="s">
        <v>494</v>
      </c>
      <c r="J197" s="171"/>
      <c r="K197" s="172"/>
    </row>
    <row r="198" spans="1:14" ht="24.95" customHeight="1">
      <c r="A198" s="111">
        <f t="shared" si="2"/>
        <v>191</v>
      </c>
      <c r="B198" s="99">
        <v>2026</v>
      </c>
      <c r="C198" s="100" t="s">
        <v>479</v>
      </c>
      <c r="D198" s="98">
        <v>46150</v>
      </c>
      <c r="E198" s="101" t="s">
        <v>519</v>
      </c>
      <c r="F198" s="101" t="s">
        <v>28</v>
      </c>
      <c r="G198" s="101" t="s">
        <v>579</v>
      </c>
      <c r="H198" s="102" t="s">
        <v>581</v>
      </c>
      <c r="I198" s="101" t="s">
        <v>494</v>
      </c>
      <c r="J198" s="103">
        <v>46160</v>
      </c>
      <c r="K198">
        <v>1</v>
      </c>
    </row>
    <row r="199" spans="1:14" ht="24.95" customHeight="1">
      <c r="A199" s="111">
        <f t="shared" si="2"/>
        <v>192</v>
      </c>
      <c r="B199" s="99">
        <v>2026</v>
      </c>
      <c r="C199" s="100" t="s">
        <v>479</v>
      </c>
      <c r="D199" s="98">
        <v>46150</v>
      </c>
      <c r="E199" s="101" t="s">
        <v>519</v>
      </c>
      <c r="F199" s="101" t="s">
        <v>307</v>
      </c>
      <c r="G199" s="101" t="s">
        <v>580</v>
      </c>
      <c r="H199" s="102" t="s">
        <v>581</v>
      </c>
      <c r="I199" s="101" t="s">
        <v>585</v>
      </c>
      <c r="J199" s="103">
        <v>46160</v>
      </c>
      <c r="K199">
        <v>1</v>
      </c>
    </row>
    <row r="200" spans="1:14" ht="24.95" customHeight="1">
      <c r="A200" s="111">
        <f t="shared" si="2"/>
        <v>193</v>
      </c>
      <c r="B200" s="99">
        <v>2026</v>
      </c>
      <c r="C200" s="100" t="s">
        <v>479</v>
      </c>
      <c r="D200" s="98">
        <v>46156</v>
      </c>
      <c r="E200" s="101" t="s">
        <v>377</v>
      </c>
      <c r="F200" s="101" t="s">
        <v>28</v>
      </c>
      <c r="G200" s="101" t="s">
        <v>469</v>
      </c>
      <c r="H200" s="102" t="s">
        <v>584</v>
      </c>
      <c r="I200" s="101" t="s">
        <v>585</v>
      </c>
      <c r="J200" s="103">
        <v>46161</v>
      </c>
      <c r="K200">
        <v>1</v>
      </c>
    </row>
    <row r="201" spans="1:14" ht="24.95" customHeight="1">
      <c r="A201" s="111">
        <f t="shared" si="2"/>
        <v>194</v>
      </c>
      <c r="B201" s="99">
        <v>2026</v>
      </c>
      <c r="C201" s="100" t="s">
        <v>479</v>
      </c>
      <c r="D201" s="98">
        <v>46156</v>
      </c>
      <c r="E201" s="101" t="s">
        <v>377</v>
      </c>
      <c r="F201" s="101" t="s">
        <v>47</v>
      </c>
      <c r="G201" s="101" t="s">
        <v>582</v>
      </c>
      <c r="H201" s="102" t="s">
        <v>584</v>
      </c>
      <c r="I201" s="101" t="s">
        <v>253</v>
      </c>
      <c r="J201" s="103">
        <v>46161</v>
      </c>
      <c r="K201">
        <v>1</v>
      </c>
    </row>
    <row r="202" spans="1:14" ht="24.95" customHeight="1">
      <c r="A202" s="111">
        <f t="shared" si="2"/>
        <v>195</v>
      </c>
      <c r="B202" s="99">
        <v>2026</v>
      </c>
      <c r="C202" s="100" t="s">
        <v>479</v>
      </c>
      <c r="D202" s="98">
        <v>46156</v>
      </c>
      <c r="E202" s="101" t="s">
        <v>377</v>
      </c>
      <c r="F202" s="101" t="s">
        <v>154</v>
      </c>
      <c r="G202" s="101" t="s">
        <v>583</v>
      </c>
      <c r="H202" s="102" t="s">
        <v>584</v>
      </c>
      <c r="I202" s="101" t="s">
        <v>253</v>
      </c>
      <c r="J202" s="103">
        <v>46161</v>
      </c>
      <c r="K202">
        <v>1</v>
      </c>
    </row>
    <row r="203" spans="1:14" ht="24.95" customHeight="1">
      <c r="A203" s="42">
        <f t="shared" si="2"/>
        <v>196</v>
      </c>
      <c r="B203" s="99"/>
      <c r="C203" s="100"/>
      <c r="D203" s="98"/>
      <c r="E203" s="101"/>
      <c r="F203" s="101"/>
      <c r="G203" s="101"/>
      <c r="H203" s="102"/>
      <c r="I203" s="101"/>
      <c r="J203" s="103"/>
    </row>
    <row r="204" spans="1:14" ht="24.95" customHeight="1">
      <c r="A204" s="42">
        <f t="shared" si="2"/>
        <v>197</v>
      </c>
      <c r="B204" s="99"/>
      <c r="C204" s="100"/>
      <c r="D204" s="98"/>
      <c r="E204" s="101"/>
      <c r="F204" s="101"/>
      <c r="G204" s="101"/>
      <c r="H204" s="102"/>
      <c r="I204" s="101"/>
      <c r="J204" s="103"/>
    </row>
    <row r="205" spans="1:14" ht="24.95" customHeight="1">
      <c r="A205" s="42">
        <f t="shared" si="2"/>
        <v>198</v>
      </c>
      <c r="B205" s="41"/>
      <c r="C205" s="75"/>
      <c r="D205" s="76"/>
      <c r="E205" s="55"/>
      <c r="F205" s="55"/>
      <c r="G205" s="55"/>
      <c r="H205" s="77"/>
      <c r="I205" s="55"/>
      <c r="J205" s="86"/>
    </row>
    <row r="206" spans="1:14" ht="24.95" customHeight="1" thickBot="1">
      <c r="A206" s="44">
        <f t="shared" si="2"/>
        <v>199</v>
      </c>
      <c r="B206" s="45"/>
      <c r="C206" s="79"/>
      <c r="D206" s="80"/>
      <c r="E206" s="81"/>
      <c r="F206" s="81"/>
      <c r="G206" s="81"/>
      <c r="H206" s="82"/>
      <c r="I206" s="81"/>
      <c r="J206" s="87"/>
    </row>
  </sheetData>
  <autoFilter ref="A7:J126" xr:uid="{00000000-0009-0000-0000-000005000000}"/>
  <mergeCells count="11">
    <mergeCell ref="A3:J3"/>
    <mergeCell ref="B5:B6"/>
    <mergeCell ref="A5:A6"/>
    <mergeCell ref="C5:C6"/>
    <mergeCell ref="D5:D6"/>
    <mergeCell ref="E5:E6"/>
    <mergeCell ref="F5:F6"/>
    <mergeCell ref="G5:G6"/>
    <mergeCell ref="H5:H6"/>
    <mergeCell ref="I5:I6"/>
    <mergeCell ref="J5:J6"/>
  </mergeCells>
  <phoneticPr fontId="6" type="noConversion"/>
  <printOptions horizontalCentered="1"/>
  <pageMargins left="0.23622047244094491" right="0.23622047244094491" top="0.74803149606299213" bottom="0.74803149606299213" header="0.31496062992125984" footer="0.31496062992125984"/>
  <pageSetup paperSize="9" orientation="landscape" horizontalDpi="4294967293" verticalDpi="300" r:id="rId1"/>
  <headerFooter>
    <oddFooter>&amp;L서식 경영지원 2018-100-009 REV.1&amp;C미성엠프로(주)&amp;RA4(210×297mm)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18</vt:i4>
      </vt:variant>
    </vt:vector>
  </HeadingPairs>
  <TitlesOfParts>
    <vt:vector size="27" baseType="lpstr">
      <vt:lpstr>징계기록대장_2018</vt:lpstr>
      <vt:lpstr>징계기록대장_2019</vt:lpstr>
      <vt:lpstr>징계기록대장_2020</vt:lpstr>
      <vt:lpstr>징계기록대장_2021</vt:lpstr>
      <vt:lpstr>징계기록대장_2022</vt:lpstr>
      <vt:lpstr>징계기록대장_2023</vt:lpstr>
      <vt:lpstr>징계기록대장_2024</vt:lpstr>
      <vt:lpstr>징계기록대장_2025</vt:lpstr>
      <vt:lpstr>집계표(2018_2026)</vt:lpstr>
      <vt:lpstr>'집계표(2018_2026)'!Print_Area</vt:lpstr>
      <vt:lpstr>징계기록대장_2018!Print_Area</vt:lpstr>
      <vt:lpstr>징계기록대장_2019!Print_Area</vt:lpstr>
      <vt:lpstr>징계기록대장_2020!Print_Area</vt:lpstr>
      <vt:lpstr>징계기록대장_2021!Print_Area</vt:lpstr>
      <vt:lpstr>징계기록대장_2022!Print_Area</vt:lpstr>
      <vt:lpstr>징계기록대장_2023!Print_Area</vt:lpstr>
      <vt:lpstr>징계기록대장_2024!Print_Area</vt:lpstr>
      <vt:lpstr>징계기록대장_2025!Print_Area</vt:lpstr>
      <vt:lpstr>'집계표(2018_2026)'!Print_Titles</vt:lpstr>
      <vt:lpstr>징계기록대장_2018!Print_Titles</vt:lpstr>
      <vt:lpstr>징계기록대장_2019!Print_Titles</vt:lpstr>
      <vt:lpstr>징계기록대장_2020!Print_Titles</vt:lpstr>
      <vt:lpstr>징계기록대장_2021!Print_Titles</vt:lpstr>
      <vt:lpstr>징계기록대장_2022!Print_Titles</vt:lpstr>
      <vt:lpstr>징계기록대장_2023!Print_Titles</vt:lpstr>
      <vt:lpstr>징계기록대장_2024!Print_Titles</vt:lpstr>
      <vt:lpstr>징계기록대장_2025!Print_Titles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bc.shin</dc:creator>
  <cp:lastModifiedBy>cys1000175@gmail.com</cp:lastModifiedBy>
  <cp:lastPrinted>2023-08-29T05:26:22Z</cp:lastPrinted>
  <dcterms:created xsi:type="dcterms:W3CDTF">2019-07-15T01:41:14Z</dcterms:created>
  <dcterms:modified xsi:type="dcterms:W3CDTF">2026-06-08T02:44:26Z</dcterms:modified>
</cp:coreProperties>
</file>