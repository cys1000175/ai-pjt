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ys.chun\Desktop\"/>
    </mc:Choice>
  </mc:AlternateContent>
  <xr:revisionPtr revIDLastSave="0" documentId="13_ncr:1_{BD6827C1-6348-4C13-AAAF-3081C83F4846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2018년" sheetId="1" r:id="rId1"/>
    <sheet name="2019년" sheetId="2" r:id="rId2"/>
    <sheet name="2020년" sheetId="3" r:id="rId3"/>
    <sheet name="2021년" sheetId="5" r:id="rId4"/>
    <sheet name="2022년" sheetId="6" r:id="rId5"/>
    <sheet name="2023년" sheetId="7" r:id="rId6"/>
    <sheet name="2024년" sheetId="8" r:id="rId7"/>
    <sheet name="2025년" sheetId="9" r:id="rId8"/>
    <sheet name="2026년" sheetId="4" r:id="rId9"/>
  </sheets>
  <definedNames>
    <definedName name="_xlnm._FilterDatabase" localSheetId="8" hidden="1">'2026년'!$A$7:$J$7</definedName>
    <definedName name="_xlnm.Print_Area" localSheetId="0">'2018년'!$A$1:$K$22</definedName>
    <definedName name="_xlnm.Print_Area" localSheetId="1">'2019년'!$A$1:$K$29</definedName>
    <definedName name="_xlnm.Print_Area" localSheetId="2">'2020년'!$A$1:$K$29</definedName>
    <definedName name="_xlnm.Print_Area" localSheetId="3">'2021년'!$A$1:$K$35</definedName>
    <definedName name="_xlnm.Print_Area" localSheetId="4">'2022년'!$A$1:$K$15</definedName>
    <definedName name="_xlnm.Print_Area" localSheetId="5">'2023년'!$A$1:$J$15</definedName>
    <definedName name="_xlnm.Print_Area" localSheetId="6">'2024년'!$A$1:$J$6</definedName>
    <definedName name="_xlnm.Print_Area" localSheetId="7">'2025년'!$A$1:$J$6</definedName>
    <definedName name="_xlnm.Print_Area" localSheetId="8">'2026년'!$A$1:$J$7</definedName>
    <definedName name="_xlnm.Print_Titles" localSheetId="0">'2018년'!$1:$4</definedName>
    <definedName name="_xlnm.Print_Titles" localSheetId="1">'2019년'!$1:$6</definedName>
    <definedName name="_xlnm.Print_Titles" localSheetId="2">'2020년'!$1:$6</definedName>
    <definedName name="_xlnm.Print_Titles" localSheetId="3">'2021년'!$1:$6</definedName>
    <definedName name="_xlnm.Print_Titles" localSheetId="4">'2022년'!$1:$6</definedName>
    <definedName name="_xlnm.Print_Titles" localSheetId="5">'2023년'!$1:$6</definedName>
    <definedName name="_xlnm.Print_Titles" localSheetId="6">'2024년'!$1:$6</definedName>
    <definedName name="_xlnm.Print_Titles" localSheetId="7">'2025년'!$1:$6</definedName>
    <definedName name="_xlnm.Print_Titles" localSheetId="8">'2026년'!$1:$6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7" i="9" l="1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M6" i="4"/>
  <c r="A31" i="4"/>
  <c r="A32" i="4"/>
  <c r="A33" i="4"/>
  <c r="A36" i="4"/>
  <c r="A29" i="4"/>
  <c r="A30" i="4"/>
  <c r="A34" i="4"/>
  <c r="A35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S6" i="4"/>
  <c r="T6" i="4"/>
  <c r="R6" i="4"/>
  <c r="Q6" i="4"/>
  <c r="P6" i="4"/>
  <c r="O6" i="4"/>
  <c r="N6" i="4"/>
  <c r="L6" i="4"/>
  <c r="U6" i="4" l="1"/>
  <c r="A37" i="4"/>
</calcChain>
</file>

<file path=xl/sharedStrings.xml><?xml version="1.0" encoding="utf-8"?>
<sst xmlns="http://schemas.openxmlformats.org/spreadsheetml/2006/main" count="1187" uniqueCount="504">
  <si>
    <r>
      <t>[</t>
    </r>
    <r>
      <rPr>
        <sz val="11"/>
        <color rgb="FF000000"/>
        <rFont val="맑은 고딕"/>
        <family val="3"/>
        <charset val="129"/>
        <scheme val="minor"/>
      </rPr>
      <t>별지서식 제</t>
    </r>
    <r>
      <rPr>
        <sz val="11"/>
        <color rgb="FF000000"/>
        <rFont val="신명조"/>
        <family val="1"/>
        <charset val="129"/>
      </rPr>
      <t>9</t>
    </r>
    <r>
      <rPr>
        <sz val="11"/>
        <color rgb="FF000000"/>
        <rFont val="맑은 고딕"/>
        <family val="3"/>
        <charset val="129"/>
        <scheme val="minor"/>
      </rPr>
      <t>호</t>
    </r>
    <r>
      <rPr>
        <sz val="11"/>
        <color rgb="FF000000"/>
        <rFont val="신명조"/>
        <family val="1"/>
        <charset val="129"/>
      </rPr>
      <t>]</t>
    </r>
  </si>
  <si>
    <t>징 계 기 록 대 장</t>
  </si>
  <si>
    <t>번호</t>
  </si>
  <si>
    <t>일 자</t>
  </si>
  <si>
    <t>소속</t>
  </si>
  <si>
    <t>직책</t>
  </si>
  <si>
    <t>성 명</t>
  </si>
  <si>
    <t>징계 사유</t>
  </si>
  <si>
    <t>징계종류</t>
  </si>
  <si>
    <t>징계일</t>
  </si>
  <si>
    <t>확인</t>
  </si>
  <si>
    <t>담당</t>
  </si>
  <si>
    <t>팀장</t>
  </si>
  <si>
    <t>신공항하이웨이</t>
    <phoneticPr fontId="6" type="noConversion"/>
  </si>
  <si>
    <t>사원</t>
    <phoneticPr fontId="6" type="noConversion"/>
  </si>
  <si>
    <t>조선희</t>
    <phoneticPr fontId="6" type="noConversion"/>
  </si>
  <si>
    <t>복무규정위반(통행료 징수 부정행위)</t>
    <phoneticPr fontId="6" type="noConversion"/>
  </si>
  <si>
    <t>감봉(10%)</t>
    <phoneticPr fontId="6" type="noConversion"/>
  </si>
  <si>
    <t>서울영업소</t>
    <phoneticPr fontId="6" type="noConversion"/>
  </si>
  <si>
    <t>사무장</t>
    <phoneticPr fontId="6" type="noConversion"/>
  </si>
  <si>
    <t>이상열</t>
    <phoneticPr fontId="6" type="noConversion"/>
  </si>
  <si>
    <t>이종민</t>
    <phoneticPr fontId="6" type="noConversion"/>
  </si>
  <si>
    <t>성희롱</t>
    <phoneticPr fontId="6" type="noConversion"/>
  </si>
  <si>
    <t>관리부실(성희롱 사건)</t>
    <phoneticPr fontId="6" type="noConversion"/>
  </si>
  <si>
    <t>감봉(5%)</t>
    <phoneticPr fontId="6" type="noConversion"/>
  </si>
  <si>
    <t>경고(서면)</t>
    <phoneticPr fontId="6" type="noConversion"/>
  </si>
  <si>
    <t>파라다이스시티</t>
    <phoneticPr fontId="6" type="noConversion"/>
  </si>
  <si>
    <t>박명춘</t>
    <phoneticPr fontId="6" type="noConversion"/>
  </si>
  <si>
    <t>소장</t>
    <phoneticPr fontId="6" type="noConversion"/>
  </si>
  <si>
    <t>박노일</t>
    <phoneticPr fontId="6" type="noConversion"/>
  </si>
  <si>
    <t>견책(시말서)</t>
    <phoneticPr fontId="6" type="noConversion"/>
  </si>
  <si>
    <t>복무규정위반(산업안전보건법 위반)</t>
    <phoneticPr fontId="6" type="noConversion"/>
  </si>
  <si>
    <t>관리부실(산업안전보건 위반 사건)</t>
    <phoneticPr fontId="6" type="noConversion"/>
  </si>
  <si>
    <t>구분</t>
    <phoneticPr fontId="6" type="noConversion"/>
  </si>
  <si>
    <t>인사위</t>
    <phoneticPr fontId="6" type="noConversion"/>
  </si>
  <si>
    <t>징계안</t>
    <phoneticPr fontId="6" type="noConversion"/>
  </si>
  <si>
    <t>마포트라팰리스</t>
    <phoneticPr fontId="6" type="noConversion"/>
  </si>
  <si>
    <t>대리</t>
    <phoneticPr fontId="6" type="noConversion"/>
  </si>
  <si>
    <t>고정관</t>
    <phoneticPr fontId="6" type="noConversion"/>
  </si>
  <si>
    <t>윤영우</t>
    <phoneticPr fontId="6" type="noConversion"/>
  </si>
  <si>
    <t>복무규정위반(근태기록 조작 부정행위)</t>
    <phoneticPr fontId="6" type="noConversion"/>
  </si>
  <si>
    <t>강등(1직급)</t>
    <phoneticPr fontId="6" type="noConversion"/>
  </si>
  <si>
    <t>롯데중앙연구소</t>
    <phoneticPr fontId="6" type="noConversion"/>
  </si>
  <si>
    <t>팀장</t>
    <phoneticPr fontId="6" type="noConversion"/>
  </si>
  <si>
    <t>정유식</t>
    <phoneticPr fontId="6" type="noConversion"/>
  </si>
  <si>
    <t>르노삼성부산공장</t>
    <phoneticPr fontId="6" type="noConversion"/>
  </si>
  <si>
    <t>성호준</t>
    <phoneticPr fontId="6" type="noConversion"/>
  </si>
  <si>
    <t>주임</t>
    <phoneticPr fontId="6" type="noConversion"/>
  </si>
  <si>
    <t>김상현</t>
    <phoneticPr fontId="6" type="noConversion"/>
  </si>
  <si>
    <t>천병욱</t>
    <phoneticPr fontId="6" type="noConversion"/>
  </si>
  <si>
    <t>수석</t>
    <phoneticPr fontId="6" type="noConversion"/>
  </si>
  <si>
    <t>오인규</t>
    <phoneticPr fontId="6" type="noConversion"/>
  </si>
  <si>
    <t>복무규정위반(외부인 무단출입)</t>
    <phoneticPr fontId="6" type="noConversion"/>
  </si>
  <si>
    <t>관리부실(보안관리 위반)</t>
    <phoneticPr fontId="6" type="noConversion"/>
  </si>
  <si>
    <t>GS동해전력</t>
    <phoneticPr fontId="6" type="noConversion"/>
  </si>
  <si>
    <t>실장</t>
    <phoneticPr fontId="6" type="noConversion"/>
  </si>
  <si>
    <t>이정화</t>
    <phoneticPr fontId="6" type="noConversion"/>
  </si>
  <si>
    <t>이상필</t>
    <phoneticPr fontId="6" type="noConversion"/>
  </si>
  <si>
    <t>복무규정위반(자금운용 부정)</t>
    <phoneticPr fontId="6" type="noConversion"/>
  </si>
  <si>
    <t>사직(퇴사)</t>
    <phoneticPr fontId="6" type="noConversion"/>
  </si>
  <si>
    <t>■ 2018년</t>
    <phoneticPr fontId="6" type="noConversion"/>
  </si>
  <si>
    <t>■ 2019년</t>
    <phoneticPr fontId="6" type="noConversion"/>
  </si>
  <si>
    <t>경기의왕영업소</t>
    <phoneticPr fontId="6" type="noConversion"/>
  </si>
  <si>
    <t>소장</t>
    <phoneticPr fontId="6" type="noConversion"/>
  </si>
  <si>
    <t>한창수</t>
    <phoneticPr fontId="6" type="noConversion"/>
  </si>
  <si>
    <t>수석</t>
    <phoneticPr fontId="6" type="noConversion"/>
  </si>
  <si>
    <t>이상호</t>
    <phoneticPr fontId="6" type="noConversion"/>
  </si>
  <si>
    <t>근로기준법위반(계약서 미작성)</t>
    <phoneticPr fontId="6" type="noConversion"/>
  </si>
  <si>
    <t>관리부실(근로기준법 위반 사건)</t>
    <phoneticPr fontId="6" type="noConversion"/>
  </si>
  <si>
    <t>견책(시말서)</t>
    <phoneticPr fontId="6" type="noConversion"/>
  </si>
  <si>
    <t>경고(서면)</t>
    <phoneticPr fontId="6" type="noConversion"/>
  </si>
  <si>
    <t>징계안</t>
    <phoneticPr fontId="6" type="noConversion"/>
  </si>
  <si>
    <t>보안주차사업부</t>
    <phoneticPr fontId="6" type="noConversion"/>
  </si>
  <si>
    <t>이사</t>
    <phoneticPr fontId="6" type="noConversion"/>
  </si>
  <si>
    <t>추귀영</t>
    <phoneticPr fontId="6" type="noConversion"/>
  </si>
  <si>
    <t>오운기</t>
    <phoneticPr fontId="6" type="noConversion"/>
  </si>
  <si>
    <t>관리부실(건양대병원 응급실 사건)</t>
    <phoneticPr fontId="6" type="noConversion"/>
  </si>
  <si>
    <t>현대모비스 (서산)</t>
    <phoneticPr fontId="6" type="noConversion"/>
  </si>
  <si>
    <t>사원</t>
    <phoneticPr fontId="6" type="noConversion"/>
  </si>
  <si>
    <t>김성일</t>
    <phoneticPr fontId="6" type="noConversion"/>
  </si>
  <si>
    <t>복무규정위반(폭언 위협)</t>
    <phoneticPr fontId="6" type="noConversion"/>
  </si>
  <si>
    <t>감봉(10%)</t>
    <phoneticPr fontId="6" type="noConversion"/>
  </si>
  <si>
    <t>센터장</t>
    <phoneticPr fontId="6" type="noConversion"/>
  </si>
  <si>
    <t>한성우</t>
    <phoneticPr fontId="6" type="noConversion"/>
  </si>
  <si>
    <t>이준배</t>
    <phoneticPr fontId="6" type="noConversion"/>
  </si>
  <si>
    <t>관리부실</t>
    <phoneticPr fontId="6" type="noConversion"/>
  </si>
  <si>
    <t>관리부실</t>
    <phoneticPr fontId="6" type="noConversion"/>
  </si>
  <si>
    <t>경고(서면)</t>
    <phoneticPr fontId="6" type="noConversion"/>
  </si>
  <si>
    <t>삼성바이오로직스(미화)</t>
    <phoneticPr fontId="6" type="noConversion"/>
  </si>
  <si>
    <t>감독</t>
    <phoneticPr fontId="6" type="noConversion"/>
  </si>
  <si>
    <t>김기범</t>
    <phoneticPr fontId="6" type="noConversion"/>
  </si>
  <si>
    <t>복무규정위반(근무 태만)</t>
    <phoneticPr fontId="6" type="noConversion"/>
  </si>
  <si>
    <t>사원</t>
    <phoneticPr fontId="6" type="noConversion"/>
  </si>
  <si>
    <t>오성준</t>
    <phoneticPr fontId="6" type="noConversion"/>
  </si>
  <si>
    <t>현준호</t>
    <phoneticPr fontId="6" type="noConversion"/>
  </si>
  <si>
    <t>고정호</t>
    <phoneticPr fontId="6" type="noConversion"/>
  </si>
  <si>
    <t>강병일</t>
    <phoneticPr fontId="6" type="noConversion"/>
  </si>
  <si>
    <t>견책(시말서)</t>
    <phoneticPr fontId="6" type="noConversion"/>
  </si>
  <si>
    <t>정보통신연구소
(미화)</t>
    <phoneticPr fontId="6" type="noConversion"/>
  </si>
  <si>
    <t>최순복</t>
    <phoneticPr fontId="6" type="noConversion"/>
  </si>
  <si>
    <t>복무규정위반(비밀유지 위반)</t>
    <phoneticPr fontId="6" type="noConversion"/>
  </si>
  <si>
    <t>인사위</t>
    <phoneticPr fontId="6" type="noConversion"/>
  </si>
  <si>
    <t>아모레사옥(미화)</t>
    <phoneticPr fontId="6" type="noConversion"/>
  </si>
  <si>
    <t>소장</t>
    <phoneticPr fontId="6" type="noConversion"/>
  </si>
  <si>
    <t>최규성</t>
    <phoneticPr fontId="6" type="noConversion"/>
  </si>
  <si>
    <t>직장내 괴롭힘</t>
    <phoneticPr fontId="6" type="noConversion"/>
  </si>
  <si>
    <t>견책(시말서)</t>
    <phoneticPr fontId="6" type="noConversion"/>
  </si>
  <si>
    <t>관리부실</t>
    <phoneticPr fontId="6" type="noConversion"/>
  </si>
  <si>
    <t>경고(서면)</t>
    <phoneticPr fontId="6" type="noConversion"/>
  </si>
  <si>
    <t>환경사업부</t>
    <phoneticPr fontId="6" type="noConversion"/>
  </si>
  <si>
    <t>수석</t>
    <phoneticPr fontId="6" type="noConversion"/>
  </si>
  <si>
    <t>백진호</t>
    <phoneticPr fontId="6" type="noConversion"/>
  </si>
  <si>
    <t>관리부실(아모레 최규성)</t>
    <phoneticPr fontId="6" type="noConversion"/>
  </si>
  <si>
    <t>삼성전자사옥(미화)</t>
    <phoneticPr fontId="6" type="noConversion"/>
  </si>
  <si>
    <t>권영보</t>
    <phoneticPr fontId="6" type="noConversion"/>
  </si>
  <si>
    <t>복무규정위반(작업수칙 위반_재물손괘)</t>
    <phoneticPr fontId="6" type="noConversion"/>
  </si>
  <si>
    <t>감독</t>
    <phoneticPr fontId="6" type="noConversion"/>
  </si>
  <si>
    <t>박종석</t>
    <phoneticPr fontId="6" type="noConversion"/>
  </si>
  <si>
    <t>소장</t>
    <phoneticPr fontId="6" type="noConversion"/>
  </si>
  <si>
    <t>이정준</t>
    <phoneticPr fontId="6" type="noConversion"/>
  </si>
  <si>
    <t>관리부실(작업수칙 위반)</t>
    <phoneticPr fontId="6" type="noConversion"/>
  </si>
  <si>
    <t>경고(서면)</t>
    <phoneticPr fontId="6" type="noConversion"/>
  </si>
  <si>
    <t>현대아산(미화)</t>
    <phoneticPr fontId="6" type="noConversion"/>
  </si>
  <si>
    <t>강신학</t>
    <phoneticPr fontId="6" type="noConversion"/>
  </si>
  <si>
    <t>환경사업부</t>
    <phoneticPr fontId="6" type="noConversion"/>
  </si>
  <si>
    <t>환경사업부</t>
    <phoneticPr fontId="6" type="noConversion"/>
  </si>
  <si>
    <t>책임</t>
    <phoneticPr fontId="6" type="noConversion"/>
  </si>
  <si>
    <t>정용인</t>
    <phoneticPr fontId="6" type="noConversion"/>
  </si>
  <si>
    <t>이사</t>
    <phoneticPr fontId="6" type="noConversion"/>
  </si>
  <si>
    <t>김재용</t>
    <phoneticPr fontId="6" type="noConversion"/>
  </si>
  <si>
    <t>징계안</t>
    <phoneticPr fontId="6" type="noConversion"/>
  </si>
  <si>
    <t>이마트시화(보안)</t>
    <phoneticPr fontId="6" type="noConversion"/>
  </si>
  <si>
    <t>팀장</t>
    <phoneticPr fontId="6" type="noConversion"/>
  </si>
  <si>
    <t>김보성</t>
    <phoneticPr fontId="6" type="noConversion"/>
  </si>
  <si>
    <t>근로기준법위반(연장근로 미보고)</t>
    <phoneticPr fontId="6" type="noConversion"/>
  </si>
  <si>
    <t>김진국</t>
    <phoneticPr fontId="6" type="noConversion"/>
  </si>
  <si>
    <t>■ 2020년</t>
    <phoneticPr fontId="6" type="noConversion"/>
  </si>
  <si>
    <t>그랜드하얏트인천
(시설)</t>
    <phoneticPr fontId="6" type="noConversion"/>
  </si>
  <si>
    <t>윤정기</t>
    <phoneticPr fontId="6" type="noConversion"/>
  </si>
  <si>
    <t>복무규정위반(폭언, 하극상)</t>
    <phoneticPr fontId="6" type="noConversion"/>
  </si>
  <si>
    <t>FM사업부</t>
    <phoneticPr fontId="6" type="noConversion"/>
  </si>
  <si>
    <t>수석</t>
    <phoneticPr fontId="6" type="noConversion"/>
  </si>
  <si>
    <t>문찬묵</t>
    <phoneticPr fontId="6" type="noConversion"/>
  </si>
  <si>
    <t>인사위</t>
    <phoneticPr fontId="6" type="noConversion"/>
  </si>
  <si>
    <t>현대차군산(보안)</t>
    <phoneticPr fontId="6" type="noConversion"/>
  </si>
  <si>
    <t>사원</t>
    <phoneticPr fontId="6" type="noConversion"/>
  </si>
  <si>
    <t>백승하</t>
    <phoneticPr fontId="6" type="noConversion"/>
  </si>
  <si>
    <t>복무규정위반(폭언, 위협)</t>
    <phoneticPr fontId="6" type="noConversion"/>
  </si>
  <si>
    <t>감봉(10%)</t>
    <phoneticPr fontId="6" type="noConversion"/>
  </si>
  <si>
    <t>수석</t>
    <phoneticPr fontId="6" type="noConversion"/>
  </si>
  <si>
    <t>최양순</t>
    <phoneticPr fontId="6" type="noConversion"/>
  </si>
  <si>
    <t>경고(서면)</t>
    <phoneticPr fontId="6" type="noConversion"/>
  </si>
  <si>
    <t>사원</t>
    <phoneticPr fontId="6" type="noConversion"/>
  </si>
  <si>
    <t>이우정</t>
    <phoneticPr fontId="6" type="noConversion"/>
  </si>
  <si>
    <t>반장</t>
    <phoneticPr fontId="6" type="noConversion"/>
  </si>
  <si>
    <t>이범희</t>
    <phoneticPr fontId="6" type="noConversion"/>
  </si>
  <si>
    <t>복무규정위반(근무태만, 지시불이행)</t>
    <phoneticPr fontId="6" type="noConversion"/>
  </si>
  <si>
    <t>NC울산성남(시설)</t>
    <phoneticPr fontId="6" type="noConversion"/>
  </si>
  <si>
    <t>소장</t>
    <phoneticPr fontId="6" type="noConversion"/>
  </si>
  <si>
    <t>박용면</t>
    <phoneticPr fontId="6" type="noConversion"/>
  </si>
  <si>
    <t>관리부실(안전사고)</t>
    <phoneticPr fontId="6" type="noConversion"/>
  </si>
  <si>
    <t>크레프톤타워(미화)</t>
    <phoneticPr fontId="6" type="noConversion"/>
  </si>
  <si>
    <t>조용대</t>
    <phoneticPr fontId="6" type="noConversion"/>
  </si>
  <si>
    <t>신춘근</t>
    <phoneticPr fontId="6" type="noConversion"/>
  </si>
  <si>
    <t>서미자</t>
    <phoneticPr fontId="6" type="noConversion"/>
  </si>
  <si>
    <t>사원</t>
    <phoneticPr fontId="6" type="noConversion"/>
  </si>
  <si>
    <t>사원</t>
    <phoneticPr fontId="6" type="noConversion"/>
  </si>
  <si>
    <t>관리부실</t>
    <phoneticPr fontId="6" type="noConversion"/>
  </si>
  <si>
    <t>현대천안(미화)</t>
    <phoneticPr fontId="6" type="noConversion"/>
  </si>
  <si>
    <t>문형길</t>
    <phoneticPr fontId="6" type="noConversion"/>
  </si>
  <si>
    <t>이성준</t>
    <phoneticPr fontId="6" type="noConversion"/>
  </si>
  <si>
    <t>여정미</t>
    <phoneticPr fontId="6" type="noConversion"/>
  </si>
  <si>
    <t>FM사업부</t>
    <phoneticPr fontId="6" type="noConversion"/>
  </si>
  <si>
    <t>최우영</t>
    <phoneticPr fontId="6" type="noConversion"/>
  </si>
  <si>
    <t>관리부실(괴롭힘)</t>
    <phoneticPr fontId="6" type="noConversion"/>
  </si>
  <si>
    <t>관리부실(폭언)</t>
    <phoneticPr fontId="6" type="noConversion"/>
  </si>
  <si>
    <t>복무규정위반(비밀유지 위반)</t>
    <phoneticPr fontId="6" type="noConversion"/>
  </si>
  <si>
    <t>경고(구두)</t>
    <phoneticPr fontId="6" type="noConversion"/>
  </si>
  <si>
    <t>삼성바이오로직스
(미화)</t>
    <phoneticPr fontId="6" type="noConversion"/>
  </si>
  <si>
    <t>부소장</t>
    <phoneticPr fontId="6" type="noConversion"/>
  </si>
  <si>
    <t>백준협</t>
    <phoneticPr fontId="6" type="noConversion"/>
  </si>
  <si>
    <t>복무규정위반(하극상, 기밀유출)</t>
    <phoneticPr fontId="6" type="noConversion"/>
  </si>
  <si>
    <t>복무규정위반(직원간 다툼, 비방)</t>
    <phoneticPr fontId="6" type="noConversion"/>
  </si>
  <si>
    <t>복무규정위반(직원간 다툼, 비방)</t>
    <phoneticPr fontId="6" type="noConversion"/>
  </si>
  <si>
    <t>사직(퇴사)</t>
    <phoneticPr fontId="6" type="noConversion"/>
  </si>
  <si>
    <t>인사위</t>
    <phoneticPr fontId="6" type="noConversion"/>
  </si>
  <si>
    <t>아모레사옥</t>
    <phoneticPr fontId="6" type="noConversion"/>
  </si>
  <si>
    <t>최규성</t>
    <phoneticPr fontId="6" type="noConversion"/>
  </si>
  <si>
    <t>배임(금품수수)</t>
    <phoneticPr fontId="6" type="noConversion"/>
  </si>
  <si>
    <t>해고(퇴사)</t>
    <phoneticPr fontId="6" type="noConversion"/>
  </si>
  <si>
    <t>환경사업부</t>
    <phoneticPr fontId="6" type="noConversion"/>
  </si>
  <si>
    <t>이사</t>
    <phoneticPr fontId="6" type="noConversion"/>
  </si>
  <si>
    <t>수석</t>
    <phoneticPr fontId="6" type="noConversion"/>
  </si>
  <si>
    <t>오충록</t>
    <phoneticPr fontId="6" type="noConversion"/>
  </si>
  <si>
    <t>수석</t>
    <phoneticPr fontId="6" type="noConversion"/>
  </si>
  <si>
    <t>백진호</t>
    <phoneticPr fontId="6" type="noConversion"/>
  </si>
  <si>
    <t>관리부실(아모레 최규성)</t>
    <phoneticPr fontId="6" type="noConversion"/>
  </si>
  <si>
    <t>견책(시말서)</t>
    <phoneticPr fontId="6" type="noConversion"/>
  </si>
  <si>
    <t>경고(서면)</t>
    <phoneticPr fontId="6" type="noConversion"/>
  </si>
  <si>
    <t>감봉(10%)</t>
    <phoneticPr fontId="6" type="noConversion"/>
  </si>
  <si>
    <t>최광수</t>
    <phoneticPr fontId="6" type="noConversion"/>
  </si>
  <si>
    <t>복무규정위반(보건지침 위반)</t>
    <phoneticPr fontId="6" type="noConversion"/>
  </si>
  <si>
    <t>해고(퇴사)</t>
    <phoneticPr fontId="6" type="noConversion"/>
  </si>
  <si>
    <t>해고(퇴사)</t>
    <phoneticPr fontId="6" type="noConversion"/>
  </si>
  <si>
    <t>복무규정위반(자금운용 부정)</t>
    <phoneticPr fontId="6" type="noConversion"/>
  </si>
  <si>
    <t>스타필드부천(보안)</t>
    <phoneticPr fontId="6" type="noConversion"/>
  </si>
  <si>
    <t>팀장</t>
    <phoneticPr fontId="6" type="noConversion"/>
  </si>
  <si>
    <t>김현우</t>
    <phoneticPr fontId="6" type="noConversion"/>
  </si>
  <si>
    <t>복무규정위반(성희롱)</t>
    <phoneticPr fontId="6" type="noConversion"/>
  </si>
  <si>
    <t>해고(퇴사)</t>
    <phoneticPr fontId="6" type="noConversion"/>
  </si>
  <si>
    <t>인사위원회(징 계) 기록부</t>
    <phoneticPr fontId="6" type="noConversion"/>
  </si>
  <si>
    <t>년도</t>
    <phoneticPr fontId="6" type="noConversion"/>
  </si>
  <si>
    <t>■ 미성엠프로</t>
    <phoneticPr fontId="6" type="noConversion"/>
  </si>
  <si>
    <t>■ 2021년</t>
    <phoneticPr fontId="6" type="noConversion"/>
  </si>
  <si>
    <t>삼성바이오로직스</t>
    <phoneticPr fontId="6" type="noConversion"/>
  </si>
  <si>
    <t>여주환</t>
    <phoneticPr fontId="6" type="noConversion"/>
  </si>
  <si>
    <t>직장내 괴롭힘(스토킹 등)</t>
    <phoneticPr fontId="6" type="noConversion"/>
  </si>
  <si>
    <t>감봉(10%)</t>
    <phoneticPr fontId="6" type="noConversion"/>
  </si>
  <si>
    <t>사원</t>
    <phoneticPr fontId="6" type="noConversion"/>
  </si>
  <si>
    <t>임해일</t>
    <phoneticPr fontId="6" type="noConversion"/>
  </si>
  <si>
    <t>복무규정위반(사우나 출입 등)</t>
    <phoneticPr fontId="6" type="noConversion"/>
  </si>
  <si>
    <t>견책</t>
    <phoneticPr fontId="6" type="noConversion"/>
  </si>
  <si>
    <t>파라다이스시티</t>
    <phoneticPr fontId="6" type="noConversion"/>
  </si>
  <si>
    <t>소장</t>
    <phoneticPr fontId="6" type="noConversion"/>
  </si>
  <si>
    <t>박노일</t>
    <phoneticPr fontId="6" type="noConversion"/>
  </si>
  <si>
    <t>관리부실(임해일 복무규정 위반)</t>
    <phoneticPr fontId="6" type="noConversion"/>
  </si>
  <si>
    <t>견책</t>
    <phoneticPr fontId="6" type="noConversion"/>
  </si>
  <si>
    <t>원주세브란스
(미화)</t>
    <phoneticPr fontId="6" type="noConversion"/>
  </si>
  <si>
    <t>소장</t>
    <phoneticPr fontId="6" type="noConversion"/>
  </si>
  <si>
    <t>원영준</t>
    <phoneticPr fontId="6" type="noConversion"/>
  </si>
  <si>
    <t>관리부실(부당해고 진정)</t>
    <phoneticPr fontId="6" type="noConversion"/>
  </si>
  <si>
    <t>견책</t>
    <phoneticPr fontId="6" type="noConversion"/>
  </si>
  <si>
    <t>수석</t>
    <phoneticPr fontId="6" type="noConversion"/>
  </si>
  <si>
    <t>관리부실(원영준 관리부실 건)</t>
    <phoneticPr fontId="6" type="noConversion"/>
  </si>
  <si>
    <t>팀장</t>
    <phoneticPr fontId="6" type="noConversion"/>
  </si>
  <si>
    <t>박세준</t>
    <phoneticPr fontId="6" type="noConversion"/>
  </si>
  <si>
    <t>삼성서울병원
(주차)</t>
    <phoneticPr fontId="6" type="noConversion"/>
  </si>
  <si>
    <t>직장내 괴롭힘(폭언 등)</t>
    <phoneticPr fontId="6" type="noConversion"/>
  </si>
  <si>
    <t>견책</t>
    <phoneticPr fontId="6" type="noConversion"/>
  </si>
  <si>
    <t>소장</t>
    <phoneticPr fontId="6" type="noConversion"/>
  </si>
  <si>
    <t>채광식</t>
    <phoneticPr fontId="6" type="noConversion"/>
  </si>
  <si>
    <t>관리부실(박세준 괴롭힘 건)</t>
    <phoneticPr fontId="6" type="noConversion"/>
  </si>
  <si>
    <t>징계안</t>
    <phoneticPr fontId="6" type="noConversion"/>
  </si>
  <si>
    <t>인재양양터널</t>
    <phoneticPr fontId="6" type="noConversion"/>
  </si>
  <si>
    <t>류수철</t>
    <phoneticPr fontId="6" type="noConversion"/>
  </si>
  <si>
    <t>이기섭</t>
    <phoneticPr fontId="6" type="noConversion"/>
  </si>
  <si>
    <t>복무규정위반(폭언, 욕설 등)</t>
    <phoneticPr fontId="6" type="noConversion"/>
  </si>
  <si>
    <t>복무규정위반(폭언, 욕설 등)</t>
    <phoneticPr fontId="6" type="noConversion"/>
  </si>
  <si>
    <t>경고(서면)</t>
    <phoneticPr fontId="6" type="noConversion"/>
  </si>
  <si>
    <t>현대모비스 서산</t>
    <phoneticPr fontId="6" type="noConversion"/>
  </si>
  <si>
    <t>센터장</t>
    <phoneticPr fontId="6" type="noConversion"/>
  </si>
  <si>
    <t>이준배</t>
    <phoneticPr fontId="6" type="noConversion"/>
  </si>
  <si>
    <t>업무상 배임(예산전용)</t>
    <phoneticPr fontId="6" type="noConversion"/>
  </si>
  <si>
    <t>해고</t>
    <phoneticPr fontId="6" type="noConversion"/>
  </si>
  <si>
    <t>팀장</t>
    <phoneticPr fontId="6" type="noConversion"/>
  </si>
  <si>
    <t>김세철</t>
    <phoneticPr fontId="6" type="noConversion"/>
  </si>
  <si>
    <t>석연호</t>
    <phoneticPr fontId="6" type="noConversion"/>
  </si>
  <si>
    <t>현대모비스 서산
(시설)</t>
    <phoneticPr fontId="6" type="noConversion"/>
  </si>
  <si>
    <t>현대모비스 서산
(보안)</t>
    <phoneticPr fontId="6" type="noConversion"/>
  </si>
  <si>
    <t>업무상 배임(예산전용 동조)</t>
    <phoneticPr fontId="6" type="noConversion"/>
  </si>
  <si>
    <t>업무상 배임(예산전용 동조)</t>
    <phoneticPr fontId="6" type="noConversion"/>
  </si>
  <si>
    <t>업무상 배임(예산전용 동조)</t>
    <phoneticPr fontId="6" type="noConversion"/>
  </si>
  <si>
    <t>권고사직</t>
    <phoneticPr fontId="6" type="noConversion"/>
  </si>
  <si>
    <t>견책</t>
    <phoneticPr fontId="6" type="noConversion"/>
  </si>
  <si>
    <t>현대 아산공장
(미화)</t>
    <phoneticPr fontId="6" type="noConversion"/>
  </si>
  <si>
    <t>현대모비스 서산
(미화)</t>
    <phoneticPr fontId="6" type="noConversion"/>
  </si>
  <si>
    <t>사원</t>
    <phoneticPr fontId="6" type="noConversion"/>
  </si>
  <si>
    <t>김택용</t>
    <phoneticPr fontId="6" type="noConversion"/>
  </si>
  <si>
    <t>박갑열</t>
    <phoneticPr fontId="6" type="noConversion"/>
  </si>
  <si>
    <t>복무규정위반(폭행)</t>
    <phoneticPr fontId="6" type="noConversion"/>
  </si>
  <si>
    <t>감봉(10%)</t>
    <phoneticPr fontId="6" type="noConversion"/>
  </si>
  <si>
    <t>크래프톤 타워
(보안)</t>
    <phoneticPr fontId="6" type="noConversion"/>
  </si>
  <si>
    <t>크래프톤 타워
(미화)</t>
    <phoneticPr fontId="6" type="noConversion"/>
  </si>
  <si>
    <t>팀장</t>
    <phoneticPr fontId="6" type="noConversion"/>
  </si>
  <si>
    <t>팀장</t>
    <phoneticPr fontId="6" type="noConversion"/>
  </si>
  <si>
    <t>최상규</t>
    <phoneticPr fontId="6" type="noConversion"/>
  </si>
  <si>
    <t>조용대</t>
    <phoneticPr fontId="6" type="noConversion"/>
  </si>
  <si>
    <t>복무규정위반(근로시간 관리 소홀)</t>
    <phoneticPr fontId="6" type="noConversion"/>
  </si>
  <si>
    <t>복무규정위반(개인정보관리 미흡)</t>
    <phoneticPr fontId="6" type="noConversion"/>
  </si>
  <si>
    <t>징계안</t>
    <phoneticPr fontId="6" type="noConversion"/>
  </si>
  <si>
    <t>이마트 성수
(보안)</t>
    <phoneticPr fontId="6" type="noConversion"/>
  </si>
  <si>
    <t>보안주차사업부</t>
    <phoneticPr fontId="6" type="noConversion"/>
  </si>
  <si>
    <t>주임</t>
    <phoneticPr fontId="6" type="noConversion"/>
  </si>
  <si>
    <t>수석</t>
    <phoneticPr fontId="6" type="noConversion"/>
  </si>
  <si>
    <t>이주현</t>
    <phoneticPr fontId="6" type="noConversion"/>
  </si>
  <si>
    <t>김선우</t>
    <phoneticPr fontId="6" type="noConversion"/>
  </si>
  <si>
    <t>황현익</t>
    <phoneticPr fontId="6" type="noConversion"/>
  </si>
  <si>
    <t>복무규정위반(근로계약 관리 소홀)</t>
    <phoneticPr fontId="6" type="noConversion"/>
  </si>
  <si>
    <t>관리부실(김민준 부당해고 진정 건)</t>
    <phoneticPr fontId="6" type="noConversion"/>
  </si>
  <si>
    <t>견책</t>
    <phoneticPr fontId="6" type="noConversion"/>
  </si>
  <si>
    <t>경고(서면)</t>
    <phoneticPr fontId="6" type="noConversion"/>
  </si>
  <si>
    <t>경고(서면)</t>
    <phoneticPr fontId="6" type="noConversion"/>
  </si>
  <si>
    <t>부산센텀백화점
(보안)</t>
    <phoneticPr fontId="6" type="noConversion"/>
  </si>
  <si>
    <t>대리</t>
    <phoneticPr fontId="6" type="noConversion"/>
  </si>
  <si>
    <t>최명철</t>
    <phoneticPr fontId="6" type="noConversion"/>
  </si>
  <si>
    <t>복무규정위반(몰카촬영)</t>
    <phoneticPr fontId="6" type="noConversion"/>
  </si>
  <si>
    <t>해고</t>
    <phoneticPr fontId="6" type="noConversion"/>
  </si>
  <si>
    <t>징계안</t>
    <phoneticPr fontId="6" type="noConversion"/>
  </si>
  <si>
    <t>사랑의교회
(미화)</t>
    <phoneticPr fontId="6" type="noConversion"/>
  </si>
  <si>
    <t>황기만</t>
    <phoneticPr fontId="6" type="noConversion"/>
  </si>
  <si>
    <t>직장내 괴롭힘(폭언 등)</t>
    <phoneticPr fontId="6" type="noConversion"/>
  </si>
  <si>
    <t>견책</t>
    <phoneticPr fontId="6" type="noConversion"/>
  </si>
  <si>
    <t>2021. 12. 15</t>
    <phoneticPr fontId="6" type="noConversion"/>
  </si>
  <si>
    <t>부산센텀백화점
(보안)</t>
    <phoneticPr fontId="6" type="noConversion"/>
  </si>
  <si>
    <t>이동만</t>
    <phoneticPr fontId="6" type="noConversion"/>
  </si>
  <si>
    <t>복무규정위반(절취)</t>
    <phoneticPr fontId="6" type="noConversion"/>
  </si>
  <si>
    <t>최태석</t>
    <phoneticPr fontId="6" type="noConversion"/>
  </si>
  <si>
    <t>과장</t>
    <phoneticPr fontId="6" type="noConversion"/>
  </si>
  <si>
    <t>민동현</t>
    <phoneticPr fontId="6" type="noConversion"/>
  </si>
  <si>
    <t>팀장</t>
    <phoneticPr fontId="6" type="noConversion"/>
  </si>
  <si>
    <t>장준기</t>
    <phoneticPr fontId="6" type="noConversion"/>
  </si>
  <si>
    <t>이마트 문현점
(보안)</t>
    <phoneticPr fontId="6" type="noConversion"/>
  </si>
  <si>
    <t>이동환</t>
    <phoneticPr fontId="6" type="noConversion"/>
  </si>
  <si>
    <t>보안주차사업부</t>
    <phoneticPr fontId="6" type="noConversion"/>
  </si>
  <si>
    <t>수석</t>
    <phoneticPr fontId="6" type="noConversion"/>
  </si>
  <si>
    <t>시현규</t>
    <phoneticPr fontId="6" type="noConversion"/>
  </si>
  <si>
    <t>복무규정위반(보고 누락, 지연 등)</t>
    <phoneticPr fontId="6" type="noConversion"/>
  </si>
  <si>
    <t>관리부실(절취, 보고누락 등)</t>
    <phoneticPr fontId="6" type="noConversion"/>
  </si>
  <si>
    <t>■ 2022년</t>
    <phoneticPr fontId="6" type="noConversion"/>
  </si>
  <si>
    <t>인사위</t>
    <phoneticPr fontId="6" type="noConversion"/>
  </si>
  <si>
    <t>건양대병원
(보안)</t>
    <phoneticPr fontId="6" type="noConversion"/>
  </si>
  <si>
    <t>선배수</t>
    <phoneticPr fontId="6" type="noConversion"/>
  </si>
  <si>
    <t>직장내 괴롭힘(폭언 등)</t>
    <phoneticPr fontId="6" type="noConversion"/>
  </si>
  <si>
    <t>관리부실(직장내괴롭힘)</t>
    <phoneticPr fontId="6" type="noConversion"/>
  </si>
  <si>
    <t>견책</t>
    <phoneticPr fontId="6" type="noConversion"/>
  </si>
  <si>
    <t>경고(서면)</t>
    <phoneticPr fontId="6" type="noConversion"/>
  </si>
  <si>
    <t>김정섭</t>
    <phoneticPr fontId="6" type="noConversion"/>
  </si>
  <si>
    <t>조장</t>
    <phoneticPr fontId="6" type="noConversion"/>
  </si>
  <si>
    <t>건양대병원
(보안)</t>
    <phoneticPr fontId="6" type="noConversion"/>
  </si>
  <si>
    <t>솔트베이CC
(미화)</t>
    <phoneticPr fontId="6" type="noConversion"/>
  </si>
  <si>
    <t>최을영</t>
    <phoneticPr fontId="6" type="noConversion"/>
  </si>
  <si>
    <t>복무규정위반(폭언 등)</t>
    <phoneticPr fontId="6" type="noConversion"/>
  </si>
  <si>
    <t>제주드림타워
(시설)</t>
    <phoneticPr fontId="6" type="noConversion"/>
  </si>
  <si>
    <t>사원</t>
    <phoneticPr fontId="6" type="noConversion"/>
  </si>
  <si>
    <t>위재영</t>
    <phoneticPr fontId="6" type="noConversion"/>
  </si>
  <si>
    <t>복무규정위반(고객응대불량)</t>
    <phoneticPr fontId="6" type="noConversion"/>
  </si>
  <si>
    <t>징계안</t>
    <phoneticPr fontId="6" type="noConversion"/>
  </si>
  <si>
    <t>건양대병원
(미화)</t>
    <phoneticPr fontId="6" type="noConversion"/>
  </si>
  <si>
    <t>반장</t>
    <phoneticPr fontId="6" type="noConversion"/>
  </si>
  <si>
    <t>오종신</t>
    <phoneticPr fontId="6" type="noConversion"/>
  </si>
  <si>
    <t>팀장</t>
    <phoneticPr fontId="6" type="noConversion"/>
  </si>
  <si>
    <t>한종현</t>
    <phoneticPr fontId="6" type="noConversion"/>
  </si>
  <si>
    <t>관리부실(안전관리, 보고누락)</t>
    <phoneticPr fontId="6" type="noConversion"/>
  </si>
  <si>
    <t>복무규정위반(허위보고, 누락 등)</t>
    <phoneticPr fontId="6" type="noConversion"/>
  </si>
  <si>
    <t>경고(서면)</t>
    <phoneticPr fontId="6" type="noConversion"/>
  </si>
  <si>
    <t>견책</t>
    <phoneticPr fontId="6" type="noConversion"/>
  </si>
  <si>
    <t>징계안</t>
    <phoneticPr fontId="6" type="noConversion"/>
  </si>
  <si>
    <t>징계안</t>
    <phoneticPr fontId="6" type="noConversion"/>
  </si>
  <si>
    <t>징계안</t>
    <phoneticPr fontId="6" type="noConversion"/>
  </si>
  <si>
    <t>삼성바이오로직스
(미화)</t>
    <phoneticPr fontId="6" type="noConversion"/>
  </si>
  <si>
    <t>사원</t>
    <phoneticPr fontId="6" type="noConversion"/>
  </si>
  <si>
    <t>김성중</t>
    <phoneticPr fontId="6" type="noConversion"/>
  </si>
  <si>
    <t>이우종</t>
    <phoneticPr fontId="6" type="noConversion"/>
  </si>
  <si>
    <t>임태원</t>
    <phoneticPr fontId="6" type="noConversion"/>
  </si>
  <si>
    <t>복무규정위반(폭언 등)</t>
    <phoneticPr fontId="6" type="noConversion"/>
  </si>
  <si>
    <t>견책</t>
    <phoneticPr fontId="6" type="noConversion"/>
  </si>
  <si>
    <t>경고(서면)</t>
    <phoneticPr fontId="6" type="noConversion"/>
  </si>
  <si>
    <t>훈계(구두)</t>
    <phoneticPr fontId="6" type="noConversion"/>
  </si>
  <si>
    <t>상무</t>
    <phoneticPr fontId="6" type="noConversion"/>
  </si>
  <si>
    <t>관리부실(직원관리 등)</t>
    <phoneticPr fontId="6" type="noConversion"/>
  </si>
  <si>
    <t>제주드림타워</t>
    <phoneticPr fontId="6" type="noConversion"/>
  </si>
  <si>
    <t>감봉(3개월)</t>
    <phoneticPr fontId="6" type="noConversion"/>
  </si>
  <si>
    <t>엄봉현</t>
    <phoneticPr fontId="6" type="noConversion"/>
  </si>
  <si>
    <t>보안규정위반</t>
    <phoneticPr fontId="6" type="noConversion"/>
  </si>
  <si>
    <t>삼성전자사옥
(미화)</t>
    <phoneticPr fontId="6" type="noConversion"/>
  </si>
  <si>
    <t>길종현</t>
    <phoneticPr fontId="6" type="noConversion"/>
  </si>
  <si>
    <t>신항특경
(보안)</t>
    <phoneticPr fontId="6" type="noConversion"/>
  </si>
  <si>
    <t>대장</t>
    <phoneticPr fontId="6" type="noConversion"/>
  </si>
  <si>
    <t>황진식</t>
    <phoneticPr fontId="6" type="noConversion"/>
  </si>
  <si>
    <t>복무규정위반(부정행위 등)</t>
    <phoneticPr fontId="6" type="noConversion"/>
  </si>
  <si>
    <t>서준원</t>
    <phoneticPr fontId="6" type="noConversion"/>
  </si>
  <si>
    <t>허정철</t>
    <phoneticPr fontId="6" type="noConversion"/>
  </si>
  <si>
    <t>재심</t>
    <phoneticPr fontId="6" type="noConversion"/>
  </si>
  <si>
    <t>부산남부지사</t>
    <phoneticPr fontId="6" type="noConversion"/>
  </si>
  <si>
    <t>정직(2개월)</t>
    <phoneticPr fontId="6" type="noConversion"/>
  </si>
  <si>
    <t>코오롱미래기술원
(미화)</t>
    <phoneticPr fontId="6" type="noConversion"/>
  </si>
  <si>
    <t>김하나</t>
    <phoneticPr fontId="6" type="noConversion"/>
  </si>
  <si>
    <t>감봉(1개월)</t>
    <phoneticPr fontId="6" type="noConversion"/>
  </si>
  <si>
    <t>안전관리 부실</t>
    <phoneticPr fontId="6" type="noConversion"/>
  </si>
  <si>
    <t>감봉(6개월)</t>
    <phoneticPr fontId="6" type="noConversion"/>
  </si>
  <si>
    <t>훈계</t>
    <phoneticPr fontId="6" type="noConversion"/>
  </si>
  <si>
    <t>견책</t>
    <phoneticPr fontId="6" type="noConversion"/>
  </si>
  <si>
    <t>감봉</t>
    <phoneticPr fontId="6" type="noConversion"/>
  </si>
  <si>
    <t>강등</t>
    <phoneticPr fontId="6" type="noConversion"/>
  </si>
  <si>
    <t>정직</t>
    <phoneticPr fontId="6" type="noConversion"/>
  </si>
  <si>
    <t>경고</t>
    <phoneticPr fontId="6" type="noConversion"/>
  </si>
  <si>
    <t>유표균</t>
    <phoneticPr fontId="6" type="noConversion"/>
  </si>
  <si>
    <t>양동식</t>
    <phoneticPr fontId="6" type="noConversion"/>
  </si>
  <si>
    <t>나범석</t>
    <phoneticPr fontId="6" type="noConversion"/>
  </si>
  <si>
    <t>서울성모병원
(주차)</t>
    <phoneticPr fontId="6" type="noConversion"/>
  </si>
  <si>
    <t>이용</t>
    <phoneticPr fontId="6" type="noConversion"/>
  </si>
  <si>
    <t>박길현</t>
    <phoneticPr fontId="6" type="noConversion"/>
  </si>
  <si>
    <t>복무규정위반(욕설,폭언 등)</t>
    <phoneticPr fontId="6" type="noConversion"/>
  </si>
  <si>
    <t>복무규정위반(보고 누락/미보고)</t>
    <phoneticPr fontId="6" type="noConversion"/>
  </si>
  <si>
    <t>인사위</t>
  </si>
  <si>
    <t>김정환</t>
    <phoneticPr fontId="6" type="noConversion"/>
  </si>
  <si>
    <t>복무규정위반(SOP 위반)</t>
    <phoneticPr fontId="6" type="noConversion"/>
  </si>
  <si>
    <t>이영훈</t>
    <phoneticPr fontId="6" type="noConversion"/>
  </si>
  <si>
    <t>배인중</t>
    <phoneticPr fontId="6" type="noConversion"/>
  </si>
  <si>
    <t>고갑희</t>
    <phoneticPr fontId="6" type="noConversion"/>
  </si>
  <si>
    <t>김지원</t>
    <phoneticPr fontId="6" type="noConversion"/>
  </si>
  <si>
    <t>조성표</t>
    <phoneticPr fontId="6" type="noConversion"/>
  </si>
  <si>
    <t>메리어트 제주</t>
    <phoneticPr fontId="6" type="noConversion"/>
  </si>
  <si>
    <t>이한신</t>
    <phoneticPr fontId="6" type="noConversion"/>
  </si>
  <si>
    <t>전배</t>
    <phoneticPr fontId="6" type="noConversion"/>
  </si>
  <si>
    <t>복무규정위반(태업 등)</t>
    <phoneticPr fontId="6" type="noConversion"/>
  </si>
  <si>
    <t>삼성전자 서초사옥</t>
    <phoneticPr fontId="6" type="noConversion"/>
  </si>
  <si>
    <t>이경희</t>
    <phoneticPr fontId="6" type="noConversion"/>
  </si>
  <si>
    <t>김선임</t>
    <phoneticPr fontId="6" type="noConversion"/>
  </si>
  <si>
    <t>경고</t>
  </si>
  <si>
    <t>현대군산서비스센터</t>
    <phoneticPr fontId="6" type="noConversion"/>
  </si>
  <si>
    <t>지현진</t>
    <phoneticPr fontId="6" type="noConversion"/>
  </si>
  <si>
    <t>관리부실(경비업 신고 지연)</t>
    <phoneticPr fontId="6" type="noConversion"/>
  </si>
  <si>
    <t>현대대전서비스센터</t>
    <phoneticPr fontId="6" type="noConversion"/>
  </si>
  <si>
    <t>복무규정 위반(근태 부실)</t>
    <phoneticPr fontId="6" type="noConversion"/>
  </si>
  <si>
    <t>황경수</t>
    <phoneticPr fontId="6" type="noConversion"/>
  </si>
  <si>
    <t>알파돔시티
(시설)</t>
    <phoneticPr fontId="6" type="noConversion"/>
  </si>
  <si>
    <t>김홍섭</t>
    <phoneticPr fontId="6" type="noConversion"/>
  </si>
  <si>
    <t>파트장</t>
    <phoneticPr fontId="6" type="noConversion"/>
  </si>
  <si>
    <t>이상옥</t>
    <phoneticPr fontId="6" type="noConversion"/>
  </si>
  <si>
    <t>채용 절차 위반</t>
    <phoneticPr fontId="6" type="noConversion"/>
  </si>
  <si>
    <t>스타필드 수원</t>
    <phoneticPr fontId="6" type="noConversion"/>
  </si>
  <si>
    <t>이성규</t>
    <phoneticPr fontId="6" type="noConversion"/>
  </si>
  <si>
    <t>박준영</t>
    <phoneticPr fontId="6" type="noConversion"/>
  </si>
  <si>
    <t>복무규정 위반(위력 행사)</t>
    <phoneticPr fontId="6" type="noConversion"/>
  </si>
  <si>
    <t>홍명인</t>
    <phoneticPr fontId="6" type="noConversion"/>
  </si>
  <si>
    <t>무단결근</t>
    <phoneticPr fontId="6" type="noConversion"/>
  </si>
  <si>
    <t>현대자동차아선공장
(미화)</t>
    <phoneticPr fontId="6" type="noConversion"/>
  </si>
  <si>
    <t>김현호</t>
    <phoneticPr fontId="6" type="noConversion"/>
  </si>
  <si>
    <t>이장우</t>
    <phoneticPr fontId="6" type="noConversion"/>
  </si>
  <si>
    <t>은평점</t>
    <phoneticPr fontId="6" type="noConversion"/>
  </si>
  <si>
    <t>김용현</t>
    <phoneticPr fontId="6" type="noConversion"/>
  </si>
  <si>
    <t>박태환</t>
    <phoneticPr fontId="6" type="noConversion"/>
  </si>
  <si>
    <t>방원환</t>
    <phoneticPr fontId="6" type="noConversion"/>
  </si>
  <si>
    <t>카시아속초</t>
    <phoneticPr fontId="6" type="noConversion"/>
  </si>
  <si>
    <t>최중규</t>
    <phoneticPr fontId="6" type="noConversion"/>
  </si>
  <si>
    <t>복무규정위반(근무규정 위반)</t>
    <phoneticPr fontId="6" type="noConversion"/>
  </si>
  <si>
    <t>녹십자 오창공장</t>
    <phoneticPr fontId="6" type="noConversion"/>
  </si>
  <si>
    <t>박철</t>
    <phoneticPr fontId="6" type="noConversion"/>
  </si>
  <si>
    <t>강태욱</t>
    <phoneticPr fontId="6" type="noConversion"/>
  </si>
  <si>
    <t>박동오</t>
    <phoneticPr fontId="6" type="noConversion"/>
  </si>
  <si>
    <t>포스코센터</t>
    <phoneticPr fontId="6" type="noConversion"/>
  </si>
  <si>
    <t>조민행</t>
    <phoneticPr fontId="6" type="noConversion"/>
  </si>
  <si>
    <t>김근식</t>
    <phoneticPr fontId="6" type="noConversion"/>
  </si>
  <si>
    <t>정계택</t>
    <phoneticPr fontId="6" type="noConversion"/>
  </si>
  <si>
    <t>복무규정위반(일반)</t>
    <phoneticPr fontId="6" type="noConversion"/>
  </si>
  <si>
    <t>조옥래</t>
    <phoneticPr fontId="6" type="noConversion"/>
  </si>
  <si>
    <t>관리부실(지연신고)</t>
    <phoneticPr fontId="6" type="noConversion"/>
  </si>
  <si>
    <t>2사업부</t>
  </si>
  <si>
    <t>2사업부</t>
    <phoneticPr fontId="6" type="noConversion"/>
  </si>
  <si>
    <t>3사업부</t>
    <phoneticPr fontId="6" type="noConversion"/>
  </si>
  <si>
    <t>채용절차법 위반</t>
    <phoneticPr fontId="6" type="noConversion"/>
  </si>
  <si>
    <t>1사업부</t>
    <phoneticPr fontId="6" type="noConversion"/>
  </si>
  <si>
    <t>김달호</t>
    <phoneticPr fontId="6" type="noConversion"/>
  </si>
  <si>
    <t>사우스시티</t>
    <phoneticPr fontId="6" type="noConversion"/>
  </si>
  <si>
    <t>정사균</t>
    <phoneticPr fontId="6" type="noConversion"/>
  </si>
  <si>
    <t>한지형</t>
    <phoneticPr fontId="6" type="noConversion"/>
  </si>
  <si>
    <t>박찬규</t>
    <phoneticPr fontId="6" type="noConversion"/>
  </si>
  <si>
    <t>장만수</t>
    <phoneticPr fontId="6" type="noConversion"/>
  </si>
  <si>
    <t>직장내괴롭힘, 관리부실</t>
    <phoneticPr fontId="6" type="noConversion"/>
  </si>
  <si>
    <t>직장내괴롭힘, 쌍방폭행</t>
    <phoneticPr fontId="6" type="noConversion"/>
  </si>
  <si>
    <t>합계</t>
    <phoneticPr fontId="6" type="noConversion"/>
  </si>
  <si>
    <t>복무규정위반(무단결근)</t>
    <phoneticPr fontId="6" type="noConversion"/>
  </si>
  <si>
    <t>이두희</t>
    <phoneticPr fontId="6" type="noConversion"/>
  </si>
  <si>
    <t>복무규정위반(보고 누락)</t>
    <phoneticPr fontId="6" type="noConversion"/>
  </si>
  <si>
    <t>감봉(2개월)</t>
    <phoneticPr fontId="6" type="noConversion"/>
  </si>
  <si>
    <t>복무규정위반(일반)_재심</t>
    <phoneticPr fontId="6" type="noConversion"/>
  </si>
  <si>
    <t>해고(원심유지)</t>
    <phoneticPr fontId="6" type="noConversion"/>
  </si>
  <si>
    <t>여주프리미엄빌리지</t>
  </si>
  <si>
    <t>여주프리미엄빌리지</t>
    <phoneticPr fontId="6" type="noConversion"/>
  </si>
  <si>
    <t>파트장</t>
  </si>
  <si>
    <t>이광현</t>
    <phoneticPr fontId="6" type="noConversion"/>
  </si>
  <si>
    <t>한미약품(평택)</t>
    <phoneticPr fontId="6" type="noConversion"/>
  </si>
  <si>
    <t>장봉익</t>
    <phoneticPr fontId="6" type="noConversion"/>
  </si>
  <si>
    <t>구종우</t>
    <phoneticPr fontId="6" type="noConversion"/>
  </si>
  <si>
    <t>선임</t>
    <phoneticPr fontId="6" type="noConversion"/>
  </si>
  <si>
    <t>김응천</t>
    <phoneticPr fontId="6" type="noConversion"/>
  </si>
  <si>
    <t>알파돔타워</t>
    <phoneticPr fontId="6" type="noConversion"/>
  </si>
  <si>
    <t>이해진</t>
    <phoneticPr fontId="6" type="noConversion"/>
  </si>
  <si>
    <t>의정부성모병원</t>
    <phoneticPr fontId="6" type="noConversion"/>
  </si>
  <si>
    <t>조병준</t>
    <phoneticPr fontId="6" type="noConversion"/>
  </si>
  <si>
    <t>장원봉</t>
    <phoneticPr fontId="6" type="noConversion"/>
  </si>
  <si>
    <t>홍성규</t>
    <phoneticPr fontId="6" type="noConversion"/>
  </si>
  <si>
    <t>서울드래곤시티</t>
    <phoneticPr fontId="6" type="noConversion"/>
  </si>
  <si>
    <t>이상환</t>
    <phoneticPr fontId="6" type="noConversion"/>
  </si>
  <si>
    <t>모나 용평</t>
    <phoneticPr fontId="6" type="noConversion"/>
  </si>
  <si>
    <t>유승완</t>
    <phoneticPr fontId="6" type="noConversion"/>
  </si>
  <si>
    <t>복무규정위반(보고 누락)</t>
  </si>
  <si>
    <t>강혜숙</t>
    <phoneticPr fontId="6" type="noConversion"/>
  </si>
  <si>
    <t>조명숙</t>
    <phoneticPr fontId="6" type="noConversion"/>
  </si>
  <si>
    <t>복무규정위반(주차장 부정 사용)</t>
    <phoneticPr fontId="6" type="noConversion"/>
  </si>
  <si>
    <t>감봉 1개월</t>
    <phoneticPr fontId="6" type="noConversion"/>
  </si>
  <si>
    <t>감봉 3개월</t>
    <phoneticPr fontId="6" type="noConversion"/>
  </si>
  <si>
    <t>복무규정위반(근무 중 음주)</t>
    <phoneticPr fontId="6" type="noConversion"/>
  </si>
  <si>
    <t>김민수</t>
    <phoneticPr fontId="6" type="noConversion"/>
  </si>
  <si>
    <t>김정은</t>
    <phoneticPr fontId="6" type="noConversion"/>
  </si>
  <si>
    <t>탈의실 오출입 사고</t>
    <phoneticPr fontId="6" type="noConversion"/>
  </si>
  <si>
    <t>강동구</t>
    <phoneticPr fontId="6" type="noConversion"/>
  </si>
  <si>
    <t>임근산</t>
    <phoneticPr fontId="6" type="noConversion"/>
  </si>
  <si>
    <t>직장 내 괴롭힘 및 성희롱</t>
    <phoneticPr fontId="6" type="noConversion"/>
  </si>
  <si>
    <t>견책</t>
  </si>
  <si>
    <r>
      <rPr>
        <b/>
        <sz val="10"/>
        <color rgb="FF000000"/>
        <rFont val="Segoe UI Symbol"/>
        <family val="3"/>
      </rPr>
      <t>■</t>
    </r>
    <r>
      <rPr>
        <b/>
        <sz val="10"/>
        <color rgb="FF000000"/>
        <rFont val="휴먼고딕"/>
        <family val="3"/>
        <charset val="129"/>
      </rPr>
      <t xml:space="preserve"> 202</t>
    </r>
    <r>
      <rPr>
        <b/>
        <sz val="10"/>
        <color rgb="FF000000"/>
        <rFont val="맑은 고딕"/>
        <family val="3"/>
        <charset val="129"/>
      </rPr>
      <t>3</t>
    </r>
    <r>
      <rPr>
        <b/>
        <sz val="10"/>
        <color rgb="FF000000"/>
        <rFont val="휴먼고딕"/>
        <family val="3"/>
        <charset val="129"/>
      </rPr>
      <t>년</t>
    </r>
    <phoneticPr fontId="6" type="noConversion"/>
  </si>
  <si>
    <r>
      <rPr>
        <b/>
        <sz val="10"/>
        <color rgb="FF000000"/>
        <rFont val="휴먼고딕"/>
        <family val="3"/>
      </rPr>
      <t>■</t>
    </r>
    <r>
      <rPr>
        <b/>
        <sz val="10"/>
        <color rgb="FF000000"/>
        <rFont val="휴먼고딕"/>
        <family val="3"/>
        <charset val="129"/>
      </rPr>
      <t xml:space="preserve"> 202</t>
    </r>
    <r>
      <rPr>
        <b/>
        <sz val="10"/>
        <color rgb="FF000000"/>
        <rFont val="맑은 고딕"/>
        <family val="3"/>
        <charset val="129"/>
      </rPr>
      <t>4</t>
    </r>
    <r>
      <rPr>
        <b/>
        <sz val="10"/>
        <color rgb="FF000000"/>
        <rFont val="휴먼고딕"/>
        <family val="3"/>
        <charset val="129"/>
      </rPr>
      <t>년</t>
    </r>
    <phoneticPr fontId="6" type="noConversion"/>
  </si>
  <si>
    <r>
      <rPr>
        <b/>
        <sz val="10"/>
        <color rgb="FF000000"/>
        <rFont val="Segoe UI Symbol"/>
        <family val="3"/>
      </rPr>
      <t>■</t>
    </r>
    <r>
      <rPr>
        <b/>
        <sz val="10"/>
        <color rgb="FF000000"/>
        <rFont val="휴먼고딕"/>
        <family val="3"/>
        <charset val="129"/>
      </rPr>
      <t xml:space="preserve"> 2025년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</si>
</sst>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11"/>
      <color rgb="FF000000"/>
      <name val="신명조"/>
      <family val="1"/>
      <charset val="129"/>
    </font>
    <font>
      <sz val="11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000000"/>
      <name val="휴먼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휴먼고딕"/>
      <family val="3"/>
      <charset val="129"/>
    </font>
    <font>
      <b/>
      <sz val="10"/>
      <color rgb="FF000000"/>
      <name val="Segoe UI Symbol"/>
      <family val="3"/>
    </font>
    <font>
      <b/>
      <sz val="10"/>
      <color rgb="FF000000"/>
      <name val="맑은 고딕"/>
      <family val="3"/>
      <charset val="129"/>
    </font>
    <font>
      <b/>
      <sz val="10"/>
      <color rgb="FF000000"/>
      <name val="휴먼고딕"/>
      <family val="3"/>
    </font>
    <font>
      <strike/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3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justify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justify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justify" vertical="center" wrapText="1"/>
    </xf>
    <xf numFmtId="0" fontId="8" fillId="0" borderId="14" xfId="0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4" fontId="7" fillId="0" borderId="16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4" fontId="7" fillId="0" borderId="22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4" fontId="7" fillId="0" borderId="21" xfId="0" applyNumberFormat="1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justify" vertical="center" wrapText="1"/>
    </xf>
    <xf numFmtId="0" fontId="8" fillId="0" borderId="26" xfId="0" applyFont="1" applyBorder="1" applyAlignment="1">
      <alignment horizontal="center" vertical="center" wrapText="1"/>
    </xf>
    <xf numFmtId="14" fontId="7" fillId="0" borderId="25" xfId="0" applyNumberFormat="1" applyFont="1" applyBorder="1" applyAlignment="1">
      <alignment horizontal="center" vertical="center" wrapText="1"/>
    </xf>
    <xf numFmtId="14" fontId="7" fillId="0" borderId="27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justify" vertical="center" wrapText="1"/>
    </xf>
    <xf numFmtId="0" fontId="7" fillId="0" borderId="21" xfId="0" applyFont="1" applyBorder="1" applyAlignment="1">
      <alignment horizontal="justify" vertical="center" wrapText="1"/>
    </xf>
    <xf numFmtId="0" fontId="7" fillId="0" borderId="27" xfId="0" applyFont="1" applyBorder="1" applyAlignment="1">
      <alignment horizontal="justify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14" fontId="7" fillId="0" borderId="43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justify" vertical="center" wrapText="1"/>
    </xf>
    <xf numFmtId="14" fontId="7" fillId="0" borderId="44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14" fontId="7" fillId="0" borderId="40" xfId="0" applyNumberFormat="1" applyFont="1" applyBorder="1" applyAlignment="1">
      <alignment horizontal="center" vertical="center" wrapText="1"/>
    </xf>
    <xf numFmtId="0" fontId="7" fillId="0" borderId="40" xfId="0" applyFont="1" applyBorder="1" applyAlignment="1">
      <alignment horizontal="justify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14" fontId="7" fillId="0" borderId="48" xfId="0" applyNumberFormat="1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justify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14" fontId="7" fillId="0" borderId="51" xfId="0" applyNumberFormat="1" applyFont="1" applyBorder="1" applyAlignment="1">
      <alignment horizontal="center" vertical="center" wrapText="1"/>
    </xf>
    <xf numFmtId="14" fontId="7" fillId="0" borderId="46" xfId="0" applyNumberFormat="1" applyFont="1" applyBorder="1" applyAlignment="1">
      <alignment horizontal="center" vertical="center" wrapText="1"/>
    </xf>
    <xf numFmtId="14" fontId="7" fillId="0" borderId="49" xfId="0" applyNumberFormat="1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14" fontId="7" fillId="2" borderId="40" xfId="0" applyNumberFormat="1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justify" vertical="center" wrapText="1"/>
    </xf>
    <xf numFmtId="14" fontId="7" fillId="2" borderId="46" xfId="0" applyNumberFormat="1" applyFont="1" applyFill="1" applyBorder="1" applyAlignment="1">
      <alignment horizontal="center"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14" fontId="7" fillId="3" borderId="40" xfId="0" applyNumberFormat="1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justify" vertical="center" wrapText="1"/>
    </xf>
    <xf numFmtId="14" fontId="7" fillId="3" borderId="46" xfId="0" applyNumberFormat="1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36" xfId="0" applyFont="1" applyFill="1" applyBorder="1" applyAlignment="1">
      <alignment horizontal="center" vertical="center" wrapText="1"/>
    </xf>
    <xf numFmtId="0" fontId="7" fillId="4" borderId="50" xfId="0" applyFont="1" applyFill="1" applyBorder="1" applyAlignment="1">
      <alignment horizontal="center" vertical="center" wrapText="1"/>
    </xf>
    <xf numFmtId="14" fontId="7" fillId="4" borderId="27" xfId="0" applyNumberFormat="1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center" vertical="center" wrapText="1"/>
    </xf>
    <xf numFmtId="0" fontId="7" fillId="4" borderId="27" xfId="0" applyFont="1" applyFill="1" applyBorder="1" applyAlignment="1">
      <alignment horizontal="justify" vertical="center" wrapText="1"/>
    </xf>
    <xf numFmtId="14" fontId="7" fillId="4" borderId="51" xfId="0" applyNumberFormat="1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14" fontId="7" fillId="4" borderId="40" xfId="0" applyNumberFormat="1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center" vertical="center" wrapText="1"/>
    </xf>
    <xf numFmtId="0" fontId="7" fillId="4" borderId="40" xfId="0" applyFont="1" applyFill="1" applyBorder="1" applyAlignment="1">
      <alignment horizontal="justify" vertical="center" wrapText="1"/>
    </xf>
    <xf numFmtId="14" fontId="7" fillId="4" borderId="46" xfId="0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 wrapText="1"/>
    </xf>
    <xf numFmtId="14" fontId="7" fillId="3" borderId="48" xfId="0" applyNumberFormat="1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justify" vertical="center" wrapText="1"/>
    </xf>
    <xf numFmtId="14" fontId="7" fillId="3" borderId="49" xfId="0" applyNumberFormat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14" fontId="7" fillId="0" borderId="60" xfId="0" applyNumberFormat="1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justify" vertical="center" wrapText="1"/>
    </xf>
    <xf numFmtId="0" fontId="8" fillId="0" borderId="61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0" fontId="13" fillId="5" borderId="32" xfId="0" applyFont="1" applyFill="1" applyBorder="1" applyAlignment="1">
      <alignment horizontal="center" vertical="center" wrapText="1"/>
    </xf>
    <xf numFmtId="0" fontId="13" fillId="5" borderId="28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14" fontId="13" fillId="5" borderId="40" xfId="0" applyNumberFormat="1" applyFont="1" applyFill="1" applyBorder="1" applyAlignment="1">
      <alignment horizontal="center" vertical="center" wrapText="1"/>
    </xf>
    <xf numFmtId="0" fontId="13" fillId="5" borderId="40" xfId="0" applyFont="1" applyFill="1" applyBorder="1" applyAlignment="1">
      <alignment horizontal="center" vertical="center" wrapText="1"/>
    </xf>
    <xf numFmtId="0" fontId="13" fillId="5" borderId="40" xfId="0" applyFont="1" applyFill="1" applyBorder="1" applyAlignment="1">
      <alignment horizontal="justify" vertical="center" wrapText="1"/>
    </xf>
    <xf numFmtId="14" fontId="13" fillId="5" borderId="46" xfId="0" applyNumberFormat="1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110623</xdr:colOff>
      <xdr:row>0</xdr:row>
      <xdr:rowOff>47625</xdr:rowOff>
    </xdr:from>
    <xdr:to>
      <xdr:col>11</xdr:col>
      <xdr:colOff>25775</xdr:colOff>
      <xdr:row>2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5023" y="47625"/>
          <a:ext cx="1229602" cy="4476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110623</xdr:colOff>
      <xdr:row>0</xdr:row>
      <xdr:rowOff>47625</xdr:rowOff>
    </xdr:from>
    <xdr:to>
      <xdr:col>11</xdr:col>
      <xdr:colOff>25775</xdr:colOff>
      <xdr:row>2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848" y="47625"/>
          <a:ext cx="1229602" cy="447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110623</xdr:colOff>
      <xdr:row>0</xdr:row>
      <xdr:rowOff>47625</xdr:rowOff>
    </xdr:from>
    <xdr:to>
      <xdr:col>11</xdr:col>
      <xdr:colOff>25775</xdr:colOff>
      <xdr:row>2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848" y="47625"/>
          <a:ext cx="1229602" cy="44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110623</xdr:colOff>
      <xdr:row>0</xdr:row>
      <xdr:rowOff>47625</xdr:rowOff>
    </xdr:from>
    <xdr:to>
      <xdr:col>11</xdr:col>
      <xdr:colOff>25775</xdr:colOff>
      <xdr:row>2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848" y="47625"/>
          <a:ext cx="1229602" cy="4476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110623</xdr:colOff>
      <xdr:row>0</xdr:row>
      <xdr:rowOff>47625</xdr:rowOff>
    </xdr:from>
    <xdr:to>
      <xdr:col>11</xdr:col>
      <xdr:colOff>25775</xdr:colOff>
      <xdr:row>2</xdr:row>
      <xdr:rowOff>76200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8848" y="47625"/>
          <a:ext cx="1229602" cy="4476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405898</xdr:colOff>
      <xdr:row>0</xdr:row>
      <xdr:rowOff>57150</xdr:rowOff>
    </xdr:from>
    <xdr:to>
      <xdr:col>9</xdr:col>
      <xdr:colOff>683000</xdr:colOff>
      <xdr:row>2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B15FA0-2CB8-45FC-8CEA-039A98B3F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98" y="57150"/>
          <a:ext cx="1229602" cy="447675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9</xdr:row>
      <xdr:rowOff>133350</xdr:rowOff>
    </xdr:from>
    <xdr:to>
      <xdr:col>9</xdr:col>
      <xdr:colOff>923925</xdr:colOff>
      <xdr:row>9</xdr:row>
      <xdr:rowOff>133350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CD6DCFB5-E212-4A0C-8E5D-A2625DD2246A}"/>
            </a:ext>
          </a:extLst>
        </xdr:cNvPr>
        <xdr:cNvCxnSpPr/>
      </xdr:nvCxnSpPr>
      <xdr:spPr>
        <a:xfrm>
          <a:off x="66675" y="37137975"/>
          <a:ext cx="91249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</xdr:colOff>
      <xdr:row>9</xdr:row>
      <xdr:rowOff>180975</xdr:rowOff>
    </xdr:from>
    <xdr:to>
      <xdr:col>9</xdr:col>
      <xdr:colOff>923925</xdr:colOff>
      <xdr:row>9</xdr:row>
      <xdr:rowOff>180975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D1E2FB0C-4FDD-489E-961B-A838C75514E7}"/>
            </a:ext>
          </a:extLst>
        </xdr:cNvPr>
        <xdr:cNvCxnSpPr/>
      </xdr:nvCxnSpPr>
      <xdr:spPr>
        <a:xfrm>
          <a:off x="66675" y="37185600"/>
          <a:ext cx="912495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405898</xdr:colOff>
      <xdr:row>0</xdr:row>
      <xdr:rowOff>57150</xdr:rowOff>
    </xdr:from>
    <xdr:to>
      <xdr:col>9</xdr:col>
      <xdr:colOff>683000</xdr:colOff>
      <xdr:row>2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4C5B752-FFFF-44FC-B01B-94BD03FA1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98" y="57150"/>
          <a:ext cx="1229602" cy="447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405898</xdr:colOff>
      <xdr:row>0</xdr:row>
      <xdr:rowOff>57150</xdr:rowOff>
    </xdr:from>
    <xdr:to>
      <xdr:col>9</xdr:col>
      <xdr:colOff>683000</xdr:colOff>
      <xdr:row>2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EF3380E-F434-4D66-910C-A2D44786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1098" y="57150"/>
          <a:ext cx="1229602" cy="4476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405898</xdr:colOff>
      <xdr:row>0</xdr:row>
      <xdr:rowOff>57150</xdr:rowOff>
    </xdr:from>
    <xdr:to>
      <xdr:col>9</xdr:col>
      <xdr:colOff>683000</xdr:colOff>
      <xdr:row>2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2473" y="57150"/>
          <a:ext cx="1229602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3"/>
  <sheetViews>
    <sheetView showWhiteSpace="0" zoomScaleNormal="100" workbookViewId="0">
      <selection activeCell="C28" sqref="C28"/>
    </sheetView>
  </sheetViews>
  <sheetFormatPr defaultRowHeight="16.5"/>
  <cols>
    <col min="1" max="1" width="5.625" customWidth="1"/>
    <col min="2" max="2" width="6.625" customWidth="1"/>
    <col min="3" max="3" width="12.625" customWidth="1"/>
    <col min="4" max="4" width="15.625" customWidth="1"/>
    <col min="5" max="5" width="8.625" customWidth="1"/>
    <col min="6" max="6" width="10.625" customWidth="1"/>
    <col min="7" max="7" width="30.625" customWidth="1"/>
    <col min="8" max="8" width="10.625" customWidth="1"/>
    <col min="9" max="9" width="12.625" customWidth="1"/>
    <col min="10" max="11" width="8.625" customWidth="1"/>
  </cols>
  <sheetData>
    <row r="2" spans="1:11">
      <c r="A2" s="1" t="s">
        <v>0</v>
      </c>
      <c r="B2" s="1"/>
    </row>
    <row r="3" spans="1:11" ht="26.25">
      <c r="A3" s="127" t="s">
        <v>1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</row>
    <row r="4" spans="1:11" ht="17.25" thickBot="1">
      <c r="A4" s="22" t="s">
        <v>60</v>
      </c>
      <c r="B4" s="2"/>
    </row>
    <row r="5" spans="1:11" ht="21.95" customHeight="1" thickTop="1">
      <c r="A5" s="128" t="s">
        <v>2</v>
      </c>
      <c r="B5" s="123" t="s">
        <v>33</v>
      </c>
      <c r="C5" s="123" t="s">
        <v>3</v>
      </c>
      <c r="D5" s="123" t="s">
        <v>4</v>
      </c>
      <c r="E5" s="123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5" t="s">
        <v>10</v>
      </c>
      <c r="K5" s="126"/>
    </row>
    <row r="6" spans="1:11" ht="21.95" customHeight="1" thickBot="1">
      <c r="A6" s="129"/>
      <c r="B6" s="124"/>
      <c r="C6" s="124"/>
      <c r="D6" s="124"/>
      <c r="E6" s="124"/>
      <c r="F6" s="124"/>
      <c r="G6" s="124"/>
      <c r="H6" s="124"/>
      <c r="I6" s="124"/>
      <c r="J6" s="3" t="s">
        <v>11</v>
      </c>
      <c r="K6" s="4" t="s">
        <v>12</v>
      </c>
    </row>
    <row r="7" spans="1:11" ht="21.95" customHeight="1" thickTop="1">
      <c r="A7" s="5">
        <v>1</v>
      </c>
      <c r="B7" s="19" t="s">
        <v>34</v>
      </c>
      <c r="C7" s="17">
        <v>43158</v>
      </c>
      <c r="D7" s="6" t="s">
        <v>13</v>
      </c>
      <c r="E7" s="6" t="s">
        <v>14</v>
      </c>
      <c r="F7" s="6" t="s">
        <v>15</v>
      </c>
      <c r="G7" s="7" t="s">
        <v>16</v>
      </c>
      <c r="H7" s="6" t="s">
        <v>17</v>
      </c>
      <c r="I7" s="17">
        <v>43158</v>
      </c>
      <c r="J7" s="6"/>
      <c r="K7" s="8"/>
    </row>
    <row r="8" spans="1:11" ht="21.95" customHeight="1">
      <c r="A8" s="9">
        <v>2</v>
      </c>
      <c r="B8" s="20" t="s">
        <v>35</v>
      </c>
      <c r="C8" s="18">
        <v>43270</v>
      </c>
      <c r="D8" s="10" t="s">
        <v>18</v>
      </c>
      <c r="E8" s="10" t="s">
        <v>14</v>
      </c>
      <c r="F8" s="10" t="s">
        <v>21</v>
      </c>
      <c r="G8" s="11" t="s">
        <v>22</v>
      </c>
      <c r="H8" s="10" t="s">
        <v>24</v>
      </c>
      <c r="I8" s="18">
        <v>43270</v>
      </c>
      <c r="J8" s="10"/>
      <c r="K8" s="12"/>
    </row>
    <row r="9" spans="1:11" ht="21.95" customHeight="1">
      <c r="A9" s="9">
        <v>3</v>
      </c>
      <c r="B9" s="20" t="s">
        <v>35</v>
      </c>
      <c r="C9" s="18">
        <v>43270</v>
      </c>
      <c r="D9" s="10" t="s">
        <v>18</v>
      </c>
      <c r="E9" s="10" t="s">
        <v>19</v>
      </c>
      <c r="F9" s="10" t="s">
        <v>20</v>
      </c>
      <c r="G9" s="11" t="s">
        <v>23</v>
      </c>
      <c r="H9" s="10" t="s">
        <v>25</v>
      </c>
      <c r="I9" s="18">
        <v>43270</v>
      </c>
      <c r="J9" s="10"/>
      <c r="K9" s="12"/>
    </row>
    <row r="10" spans="1:11" ht="21.95" customHeight="1">
      <c r="A10" s="9">
        <v>4</v>
      </c>
      <c r="B10" s="20" t="s">
        <v>35</v>
      </c>
      <c r="C10" s="18">
        <v>43270</v>
      </c>
      <c r="D10" s="10" t="s">
        <v>26</v>
      </c>
      <c r="E10" s="10" t="s">
        <v>14</v>
      </c>
      <c r="F10" s="10" t="s">
        <v>27</v>
      </c>
      <c r="G10" s="11" t="s">
        <v>31</v>
      </c>
      <c r="H10" s="10" t="s">
        <v>30</v>
      </c>
      <c r="I10" s="18">
        <v>43270</v>
      </c>
      <c r="J10" s="10"/>
      <c r="K10" s="12"/>
    </row>
    <row r="11" spans="1:11" ht="21.95" customHeight="1">
      <c r="A11" s="9">
        <v>5</v>
      </c>
      <c r="B11" s="20" t="s">
        <v>35</v>
      </c>
      <c r="C11" s="18">
        <v>43270</v>
      </c>
      <c r="D11" s="10" t="s">
        <v>26</v>
      </c>
      <c r="E11" s="10" t="s">
        <v>28</v>
      </c>
      <c r="F11" s="10" t="s">
        <v>29</v>
      </c>
      <c r="G11" s="11" t="s">
        <v>32</v>
      </c>
      <c r="H11" s="10" t="s">
        <v>25</v>
      </c>
      <c r="I11" s="18">
        <v>43270</v>
      </c>
      <c r="J11" s="10"/>
      <c r="K11" s="12"/>
    </row>
    <row r="12" spans="1:11" ht="21.95" customHeight="1">
      <c r="A12" s="9">
        <v>6</v>
      </c>
      <c r="B12" s="20" t="s">
        <v>34</v>
      </c>
      <c r="C12" s="18">
        <v>43328</v>
      </c>
      <c r="D12" s="10" t="s">
        <v>36</v>
      </c>
      <c r="E12" s="10" t="s">
        <v>37</v>
      </c>
      <c r="F12" s="10" t="s">
        <v>38</v>
      </c>
      <c r="G12" s="11" t="s">
        <v>40</v>
      </c>
      <c r="H12" s="10" t="s">
        <v>17</v>
      </c>
      <c r="I12" s="18">
        <v>43328</v>
      </c>
      <c r="J12" s="10"/>
      <c r="K12" s="12"/>
    </row>
    <row r="13" spans="1:11" ht="21.95" customHeight="1">
      <c r="A13" s="9">
        <v>7</v>
      </c>
      <c r="B13" s="20" t="s">
        <v>34</v>
      </c>
      <c r="C13" s="18">
        <v>43328</v>
      </c>
      <c r="D13" s="10" t="s">
        <v>36</v>
      </c>
      <c r="E13" s="10" t="s">
        <v>37</v>
      </c>
      <c r="F13" s="10" t="s">
        <v>39</v>
      </c>
      <c r="G13" s="11" t="s">
        <v>40</v>
      </c>
      <c r="H13" s="10" t="s">
        <v>41</v>
      </c>
      <c r="I13" s="18">
        <v>43328</v>
      </c>
      <c r="J13" s="10"/>
      <c r="K13" s="12"/>
    </row>
    <row r="14" spans="1:11" ht="21.95" customHeight="1">
      <c r="A14" s="9">
        <v>8</v>
      </c>
      <c r="B14" s="20" t="s">
        <v>35</v>
      </c>
      <c r="C14" s="18">
        <v>43355</v>
      </c>
      <c r="D14" s="10" t="s">
        <v>42</v>
      </c>
      <c r="E14" s="10" t="s">
        <v>43</v>
      </c>
      <c r="F14" s="10" t="s">
        <v>44</v>
      </c>
      <c r="G14" s="11" t="s">
        <v>22</v>
      </c>
      <c r="H14" s="10" t="s">
        <v>30</v>
      </c>
      <c r="I14" s="18">
        <v>43355</v>
      </c>
      <c r="J14" s="10"/>
      <c r="K14" s="12"/>
    </row>
    <row r="15" spans="1:11" ht="21.95" customHeight="1">
      <c r="A15" s="9">
        <v>9</v>
      </c>
      <c r="B15" s="20" t="s">
        <v>35</v>
      </c>
      <c r="C15" s="18">
        <v>43363</v>
      </c>
      <c r="D15" s="10" t="s">
        <v>45</v>
      </c>
      <c r="E15" s="10" t="s">
        <v>14</v>
      </c>
      <c r="F15" s="10" t="s">
        <v>46</v>
      </c>
      <c r="G15" s="11" t="s">
        <v>52</v>
      </c>
      <c r="H15" s="10" t="s">
        <v>30</v>
      </c>
      <c r="I15" s="18">
        <v>43363</v>
      </c>
      <c r="J15" s="10"/>
      <c r="K15" s="12"/>
    </row>
    <row r="16" spans="1:11" ht="21.95" customHeight="1">
      <c r="A16" s="9">
        <v>10</v>
      </c>
      <c r="B16" s="20" t="s">
        <v>35</v>
      </c>
      <c r="C16" s="18">
        <v>43363</v>
      </c>
      <c r="D16" s="10" t="s">
        <v>45</v>
      </c>
      <c r="E16" s="10" t="s">
        <v>47</v>
      </c>
      <c r="F16" s="10" t="s">
        <v>48</v>
      </c>
      <c r="G16" s="11" t="s">
        <v>52</v>
      </c>
      <c r="H16" s="10" t="s">
        <v>30</v>
      </c>
      <c r="I16" s="18">
        <v>43363</v>
      </c>
      <c r="J16" s="10"/>
      <c r="K16" s="12"/>
    </row>
    <row r="17" spans="1:11" ht="21.95" customHeight="1">
      <c r="A17" s="9">
        <v>11</v>
      </c>
      <c r="B17" s="20" t="s">
        <v>35</v>
      </c>
      <c r="C17" s="18">
        <v>43363</v>
      </c>
      <c r="D17" s="10" t="s">
        <v>45</v>
      </c>
      <c r="E17" s="10" t="s">
        <v>43</v>
      </c>
      <c r="F17" s="10" t="s">
        <v>49</v>
      </c>
      <c r="G17" s="11" t="s">
        <v>53</v>
      </c>
      <c r="H17" s="10" t="s">
        <v>25</v>
      </c>
      <c r="I17" s="18">
        <v>43363</v>
      </c>
      <c r="J17" s="10"/>
      <c r="K17" s="12"/>
    </row>
    <row r="18" spans="1:11" ht="21.95" customHeight="1">
      <c r="A18" s="9">
        <v>12</v>
      </c>
      <c r="B18" s="20" t="s">
        <v>35</v>
      </c>
      <c r="C18" s="18">
        <v>43363</v>
      </c>
      <c r="D18" s="10" t="s">
        <v>45</v>
      </c>
      <c r="E18" s="10" t="s">
        <v>50</v>
      </c>
      <c r="F18" s="10" t="s">
        <v>51</v>
      </c>
      <c r="G18" s="11" t="s">
        <v>53</v>
      </c>
      <c r="H18" s="10" t="s">
        <v>25</v>
      </c>
      <c r="I18" s="18">
        <v>43363</v>
      </c>
      <c r="J18" s="10"/>
      <c r="K18" s="12"/>
    </row>
    <row r="19" spans="1:11" ht="21.95" customHeight="1">
      <c r="A19" s="9">
        <v>13</v>
      </c>
      <c r="B19" s="20" t="s">
        <v>34</v>
      </c>
      <c r="C19" s="18">
        <v>43399</v>
      </c>
      <c r="D19" s="10" t="s">
        <v>54</v>
      </c>
      <c r="E19" s="10" t="s">
        <v>55</v>
      </c>
      <c r="F19" s="10" t="s">
        <v>56</v>
      </c>
      <c r="G19" s="11" t="s">
        <v>204</v>
      </c>
      <c r="H19" s="10" t="s">
        <v>202</v>
      </c>
      <c r="I19" s="18">
        <v>43399</v>
      </c>
      <c r="J19" s="10"/>
      <c r="K19" s="12"/>
    </row>
    <row r="20" spans="1:11" ht="21.95" customHeight="1">
      <c r="A20" s="9">
        <v>14</v>
      </c>
      <c r="B20" s="20" t="s">
        <v>34</v>
      </c>
      <c r="C20" s="18">
        <v>43399</v>
      </c>
      <c r="D20" s="10" t="s">
        <v>54</v>
      </c>
      <c r="E20" s="10" t="s">
        <v>14</v>
      </c>
      <c r="F20" s="10" t="s">
        <v>57</v>
      </c>
      <c r="G20" s="11" t="s">
        <v>58</v>
      </c>
      <c r="H20" s="10" t="s">
        <v>203</v>
      </c>
      <c r="I20" s="18">
        <v>43399</v>
      </c>
      <c r="J20" s="10"/>
      <c r="K20" s="12"/>
    </row>
    <row r="21" spans="1:11" ht="21.95" customHeight="1">
      <c r="A21" s="9">
        <v>15</v>
      </c>
      <c r="B21" s="20"/>
      <c r="C21" s="10"/>
      <c r="D21" s="10"/>
      <c r="E21" s="10"/>
      <c r="F21" s="10"/>
      <c r="G21" s="11"/>
      <c r="H21" s="10"/>
      <c r="I21" s="10"/>
      <c r="J21" s="10"/>
      <c r="K21" s="12"/>
    </row>
    <row r="22" spans="1:11" ht="21.95" customHeight="1" thickBot="1">
      <c r="A22" s="13">
        <v>16</v>
      </c>
      <c r="B22" s="21"/>
      <c r="C22" s="14"/>
      <c r="D22" s="14"/>
      <c r="E22" s="14"/>
      <c r="F22" s="14"/>
      <c r="G22" s="15"/>
      <c r="H22" s="14"/>
      <c r="I22" s="14"/>
      <c r="J22" s="14"/>
      <c r="K22" s="16"/>
    </row>
    <row r="23" spans="1:11" ht="17.25" thickTop="1"/>
  </sheetData>
  <mergeCells count="11">
    <mergeCell ref="H5:H6"/>
    <mergeCell ref="I5:I6"/>
    <mergeCell ref="J5:K5"/>
    <mergeCell ref="A3:K3"/>
    <mergeCell ref="B5:B6"/>
    <mergeCell ref="A5:A6"/>
    <mergeCell ref="C5:C6"/>
    <mergeCell ref="D5:D6"/>
    <mergeCell ref="E5:E6"/>
    <mergeCell ref="F5:F6"/>
    <mergeCell ref="G5:G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300" r:id="rId1"/>
  <headerFooter>
    <oddFooter>&amp;L서식 경영지원 2018-100-009 REV.1&amp;C미성엠프로(주)&amp;RA4(210×297mm)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9"/>
  <sheetViews>
    <sheetView showWhiteSpace="0" topLeftCell="A4" zoomScaleNormal="100" workbookViewId="0">
      <selection activeCell="B33" sqref="B33"/>
    </sheetView>
  </sheetViews>
  <sheetFormatPr defaultRowHeight="16.5"/>
  <cols>
    <col min="1" max="1" width="5.625" customWidth="1"/>
    <col min="2" max="2" width="6.625" customWidth="1"/>
    <col min="3" max="3" width="12.625" customWidth="1"/>
    <col min="4" max="4" width="15.625" customWidth="1"/>
    <col min="5" max="5" width="8.625" customWidth="1"/>
    <col min="6" max="6" width="10.625" customWidth="1"/>
    <col min="7" max="7" width="30.625" customWidth="1"/>
    <col min="8" max="8" width="10.625" customWidth="1"/>
    <col min="9" max="9" width="12.625" customWidth="1"/>
    <col min="10" max="11" width="8.625" customWidth="1"/>
  </cols>
  <sheetData>
    <row r="2" spans="1:11">
      <c r="A2" s="1" t="s">
        <v>0</v>
      </c>
      <c r="B2" s="1"/>
    </row>
    <row r="3" spans="1:11" ht="26.25">
      <c r="A3" s="127" t="s">
        <v>1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</row>
    <row r="4" spans="1:11" ht="17.25" thickBot="1">
      <c r="A4" s="22" t="s">
        <v>61</v>
      </c>
      <c r="B4" s="2"/>
    </row>
    <row r="5" spans="1:11" ht="21.95" customHeight="1" thickTop="1">
      <c r="A5" s="128" t="s">
        <v>2</v>
      </c>
      <c r="B5" s="123" t="s">
        <v>33</v>
      </c>
      <c r="C5" s="123" t="s">
        <v>3</v>
      </c>
      <c r="D5" s="123" t="s">
        <v>4</v>
      </c>
      <c r="E5" s="123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5" t="s">
        <v>10</v>
      </c>
      <c r="K5" s="126"/>
    </row>
    <row r="6" spans="1:11" ht="21.95" customHeight="1" thickBot="1">
      <c r="A6" s="129"/>
      <c r="B6" s="124"/>
      <c r="C6" s="124"/>
      <c r="D6" s="124"/>
      <c r="E6" s="124"/>
      <c r="F6" s="124"/>
      <c r="G6" s="124"/>
      <c r="H6" s="124"/>
      <c r="I6" s="124"/>
      <c r="J6" s="3" t="s">
        <v>11</v>
      </c>
      <c r="K6" s="4" t="s">
        <v>12</v>
      </c>
    </row>
    <row r="7" spans="1:11" ht="21.95" customHeight="1" thickTop="1">
      <c r="A7" s="5">
        <v>1</v>
      </c>
      <c r="B7" s="20" t="s">
        <v>35</v>
      </c>
      <c r="C7" s="25">
        <v>43551</v>
      </c>
      <c r="D7" s="26" t="s">
        <v>62</v>
      </c>
      <c r="E7" s="6" t="s">
        <v>63</v>
      </c>
      <c r="F7" s="6" t="s">
        <v>64</v>
      </c>
      <c r="G7" s="7" t="s">
        <v>67</v>
      </c>
      <c r="H7" s="6" t="s">
        <v>69</v>
      </c>
      <c r="I7" s="17">
        <v>43551</v>
      </c>
      <c r="J7" s="6"/>
      <c r="K7" s="8"/>
    </row>
    <row r="8" spans="1:11" ht="21.95" customHeight="1">
      <c r="A8" s="9">
        <v>2</v>
      </c>
      <c r="B8" s="20" t="s">
        <v>35</v>
      </c>
      <c r="C8" s="23">
        <v>43551</v>
      </c>
      <c r="D8" s="24" t="s">
        <v>62</v>
      </c>
      <c r="E8" s="10" t="s">
        <v>65</v>
      </c>
      <c r="F8" s="10" t="s">
        <v>66</v>
      </c>
      <c r="G8" s="11" t="s">
        <v>68</v>
      </c>
      <c r="H8" s="10" t="s">
        <v>70</v>
      </c>
      <c r="I8" s="18">
        <v>43551</v>
      </c>
      <c r="J8" s="10"/>
      <c r="K8" s="12"/>
    </row>
    <row r="9" spans="1:11" ht="21.95" customHeight="1">
      <c r="A9" s="9">
        <v>3</v>
      </c>
      <c r="B9" s="20" t="s">
        <v>71</v>
      </c>
      <c r="C9" s="18">
        <v>43658</v>
      </c>
      <c r="D9" s="10" t="s">
        <v>72</v>
      </c>
      <c r="E9" s="10" t="s">
        <v>73</v>
      </c>
      <c r="F9" s="10" t="s">
        <v>74</v>
      </c>
      <c r="G9" s="11" t="s">
        <v>76</v>
      </c>
      <c r="H9" s="10" t="s">
        <v>69</v>
      </c>
      <c r="I9" s="18">
        <v>43658</v>
      </c>
      <c r="J9" s="10"/>
      <c r="K9" s="12"/>
    </row>
    <row r="10" spans="1:11" ht="21.95" customHeight="1">
      <c r="A10" s="9">
        <v>4</v>
      </c>
      <c r="B10" s="20" t="s">
        <v>71</v>
      </c>
      <c r="C10" s="18">
        <v>43658</v>
      </c>
      <c r="D10" s="10" t="s">
        <v>72</v>
      </c>
      <c r="E10" s="10" t="s">
        <v>65</v>
      </c>
      <c r="F10" s="10" t="s">
        <v>75</v>
      </c>
      <c r="G10" s="11" t="s">
        <v>76</v>
      </c>
      <c r="H10" s="10" t="s">
        <v>70</v>
      </c>
      <c r="I10" s="18">
        <v>43658</v>
      </c>
      <c r="J10" s="10"/>
      <c r="K10" s="12"/>
    </row>
    <row r="11" spans="1:11" ht="21.95" customHeight="1">
      <c r="A11" s="9">
        <v>5</v>
      </c>
      <c r="B11" s="20" t="s">
        <v>34</v>
      </c>
      <c r="C11" s="18">
        <v>43733</v>
      </c>
      <c r="D11" s="10" t="s">
        <v>77</v>
      </c>
      <c r="E11" s="10" t="s">
        <v>78</v>
      </c>
      <c r="F11" s="10" t="s">
        <v>79</v>
      </c>
      <c r="G11" s="11" t="s">
        <v>80</v>
      </c>
      <c r="H11" s="10" t="s">
        <v>81</v>
      </c>
      <c r="I11" s="18">
        <v>43733</v>
      </c>
      <c r="J11" s="10"/>
      <c r="K11" s="12"/>
    </row>
    <row r="12" spans="1:11" ht="21.95" customHeight="1">
      <c r="A12" s="9">
        <v>6</v>
      </c>
      <c r="B12" s="20" t="s">
        <v>34</v>
      </c>
      <c r="C12" s="18">
        <v>43733</v>
      </c>
      <c r="D12" s="10" t="s">
        <v>77</v>
      </c>
      <c r="E12" s="10" t="s">
        <v>43</v>
      </c>
      <c r="F12" s="10" t="s">
        <v>83</v>
      </c>
      <c r="G12" s="11" t="s">
        <v>85</v>
      </c>
      <c r="H12" s="10" t="s">
        <v>25</v>
      </c>
      <c r="I12" s="18">
        <v>43733</v>
      </c>
      <c r="J12" s="10"/>
      <c r="K12" s="12"/>
    </row>
    <row r="13" spans="1:11" ht="21.95" customHeight="1">
      <c r="A13" s="9">
        <v>7</v>
      </c>
      <c r="B13" s="20" t="s">
        <v>34</v>
      </c>
      <c r="C13" s="18">
        <v>43733</v>
      </c>
      <c r="D13" s="10" t="s">
        <v>77</v>
      </c>
      <c r="E13" s="10" t="s">
        <v>82</v>
      </c>
      <c r="F13" s="10" t="s">
        <v>84</v>
      </c>
      <c r="G13" s="11" t="s">
        <v>86</v>
      </c>
      <c r="H13" s="10" t="s">
        <v>87</v>
      </c>
      <c r="I13" s="18">
        <v>43733</v>
      </c>
      <c r="J13" s="10"/>
      <c r="K13" s="12"/>
    </row>
    <row r="14" spans="1:11" ht="21.95" customHeight="1">
      <c r="A14" s="9">
        <v>8</v>
      </c>
      <c r="B14" s="20" t="s">
        <v>35</v>
      </c>
      <c r="C14" s="18">
        <v>43753</v>
      </c>
      <c r="D14" s="10" t="s">
        <v>88</v>
      </c>
      <c r="E14" s="10" t="s">
        <v>89</v>
      </c>
      <c r="F14" s="10" t="s">
        <v>90</v>
      </c>
      <c r="G14" s="11" t="s">
        <v>91</v>
      </c>
      <c r="H14" s="10" t="s">
        <v>25</v>
      </c>
      <c r="I14" s="18">
        <v>43753</v>
      </c>
      <c r="J14" s="10"/>
      <c r="K14" s="12"/>
    </row>
    <row r="15" spans="1:11" ht="21.95" customHeight="1">
      <c r="A15" s="9">
        <v>9</v>
      </c>
      <c r="B15" s="20" t="s">
        <v>35</v>
      </c>
      <c r="C15" s="18">
        <v>43753</v>
      </c>
      <c r="D15" s="10" t="s">
        <v>88</v>
      </c>
      <c r="E15" s="10" t="s">
        <v>92</v>
      </c>
      <c r="F15" s="10" t="s">
        <v>93</v>
      </c>
      <c r="G15" s="11" t="s">
        <v>91</v>
      </c>
      <c r="H15" s="10" t="s">
        <v>97</v>
      </c>
      <c r="I15" s="18">
        <v>43753</v>
      </c>
      <c r="J15" s="10"/>
      <c r="K15" s="12"/>
    </row>
    <row r="16" spans="1:11" ht="21.95" customHeight="1">
      <c r="A16" s="9">
        <v>10</v>
      </c>
      <c r="B16" s="20" t="s">
        <v>35</v>
      </c>
      <c r="C16" s="18">
        <v>43753</v>
      </c>
      <c r="D16" s="10" t="s">
        <v>88</v>
      </c>
      <c r="E16" s="10" t="s">
        <v>92</v>
      </c>
      <c r="F16" s="10" t="s">
        <v>94</v>
      </c>
      <c r="G16" s="11" t="s">
        <v>91</v>
      </c>
      <c r="H16" s="10" t="s">
        <v>97</v>
      </c>
      <c r="I16" s="18">
        <v>43753</v>
      </c>
      <c r="J16" s="10"/>
      <c r="K16" s="12"/>
    </row>
    <row r="17" spans="1:11" ht="21.95" customHeight="1">
      <c r="A17" s="9">
        <v>11</v>
      </c>
      <c r="B17" s="20" t="s">
        <v>35</v>
      </c>
      <c r="C17" s="18">
        <v>43753</v>
      </c>
      <c r="D17" s="10" t="s">
        <v>88</v>
      </c>
      <c r="E17" s="10" t="s">
        <v>92</v>
      </c>
      <c r="F17" s="10" t="s">
        <v>95</v>
      </c>
      <c r="G17" s="11" t="s">
        <v>91</v>
      </c>
      <c r="H17" s="10" t="s">
        <v>97</v>
      </c>
      <c r="I17" s="18">
        <v>43753</v>
      </c>
      <c r="J17" s="10"/>
      <c r="K17" s="12"/>
    </row>
    <row r="18" spans="1:11" ht="21.95" customHeight="1">
      <c r="A18" s="9">
        <v>12</v>
      </c>
      <c r="B18" s="20" t="s">
        <v>35</v>
      </c>
      <c r="C18" s="18">
        <v>43753</v>
      </c>
      <c r="D18" s="10" t="s">
        <v>88</v>
      </c>
      <c r="E18" s="10" t="s">
        <v>92</v>
      </c>
      <c r="F18" s="10" t="s">
        <v>96</v>
      </c>
      <c r="G18" s="11" t="s">
        <v>91</v>
      </c>
      <c r="H18" s="10" t="s">
        <v>97</v>
      </c>
      <c r="I18" s="18">
        <v>43753</v>
      </c>
      <c r="J18" s="10"/>
      <c r="K18" s="12"/>
    </row>
    <row r="19" spans="1:11" ht="21.95" customHeight="1">
      <c r="A19" s="9">
        <v>13</v>
      </c>
      <c r="B19" s="20" t="s">
        <v>35</v>
      </c>
      <c r="C19" s="18">
        <v>43753</v>
      </c>
      <c r="D19" s="10" t="s">
        <v>98</v>
      </c>
      <c r="E19" s="10" t="s">
        <v>92</v>
      </c>
      <c r="F19" s="10" t="s">
        <v>99</v>
      </c>
      <c r="G19" s="11" t="s">
        <v>100</v>
      </c>
      <c r="H19" s="10" t="s">
        <v>97</v>
      </c>
      <c r="I19" s="18">
        <v>43753</v>
      </c>
      <c r="J19" s="10"/>
      <c r="K19" s="12"/>
    </row>
    <row r="20" spans="1:11" ht="21.95" customHeight="1">
      <c r="A20" s="9">
        <v>14</v>
      </c>
      <c r="B20" s="20" t="s">
        <v>101</v>
      </c>
      <c r="C20" s="18">
        <v>43776</v>
      </c>
      <c r="D20" s="10" t="s">
        <v>102</v>
      </c>
      <c r="E20" s="10" t="s">
        <v>103</v>
      </c>
      <c r="F20" s="10" t="s">
        <v>104</v>
      </c>
      <c r="G20" s="11" t="s">
        <v>105</v>
      </c>
      <c r="H20" s="10" t="s">
        <v>106</v>
      </c>
      <c r="I20" s="18">
        <v>43776</v>
      </c>
      <c r="J20" s="10"/>
      <c r="K20" s="12"/>
    </row>
    <row r="21" spans="1:11" ht="21.95" customHeight="1">
      <c r="A21" s="9">
        <v>15</v>
      </c>
      <c r="B21" s="20" t="s">
        <v>101</v>
      </c>
      <c r="C21" s="18">
        <v>43776</v>
      </c>
      <c r="D21" s="10" t="s">
        <v>109</v>
      </c>
      <c r="E21" s="10" t="s">
        <v>110</v>
      </c>
      <c r="F21" s="10" t="s">
        <v>111</v>
      </c>
      <c r="G21" s="11" t="s">
        <v>112</v>
      </c>
      <c r="H21" s="10" t="s">
        <v>108</v>
      </c>
      <c r="I21" s="18">
        <v>43776</v>
      </c>
      <c r="J21" s="10"/>
      <c r="K21" s="12"/>
    </row>
    <row r="22" spans="1:11" ht="21.95" customHeight="1">
      <c r="A22" s="27">
        <v>16</v>
      </c>
      <c r="B22" s="20" t="s">
        <v>101</v>
      </c>
      <c r="C22" s="32">
        <v>43781</v>
      </c>
      <c r="D22" s="29" t="s">
        <v>113</v>
      </c>
      <c r="E22" s="29" t="s">
        <v>14</v>
      </c>
      <c r="F22" s="29" t="s">
        <v>114</v>
      </c>
      <c r="G22" s="30" t="s">
        <v>115</v>
      </c>
      <c r="H22" s="29" t="s">
        <v>59</v>
      </c>
      <c r="I22" s="32">
        <v>43781</v>
      </c>
      <c r="J22" s="29"/>
      <c r="K22" s="31"/>
    </row>
    <row r="23" spans="1:11" ht="21.95" customHeight="1">
      <c r="A23" s="27">
        <v>17</v>
      </c>
      <c r="B23" s="20" t="s">
        <v>101</v>
      </c>
      <c r="C23" s="32">
        <v>43781</v>
      </c>
      <c r="D23" s="29" t="s">
        <v>113</v>
      </c>
      <c r="E23" s="29" t="s">
        <v>116</v>
      </c>
      <c r="F23" s="29" t="s">
        <v>117</v>
      </c>
      <c r="G23" s="30" t="s">
        <v>120</v>
      </c>
      <c r="H23" s="29" t="s">
        <v>25</v>
      </c>
      <c r="I23" s="32">
        <v>43781</v>
      </c>
      <c r="J23" s="29"/>
      <c r="K23" s="31"/>
    </row>
    <row r="24" spans="1:11" ht="21.95" customHeight="1">
      <c r="A24" s="27">
        <v>18</v>
      </c>
      <c r="B24" s="20" t="s">
        <v>101</v>
      </c>
      <c r="C24" s="32">
        <v>43781</v>
      </c>
      <c r="D24" s="29" t="s">
        <v>113</v>
      </c>
      <c r="E24" s="29" t="s">
        <v>118</v>
      </c>
      <c r="F24" s="29" t="s">
        <v>119</v>
      </c>
      <c r="G24" s="30" t="s">
        <v>86</v>
      </c>
      <c r="H24" s="29" t="s">
        <v>121</v>
      </c>
      <c r="I24" s="32">
        <v>43781</v>
      </c>
      <c r="J24" s="29"/>
      <c r="K24" s="31"/>
    </row>
    <row r="25" spans="1:11" ht="21.95" customHeight="1">
      <c r="A25" s="27">
        <v>19</v>
      </c>
      <c r="B25" s="28" t="s">
        <v>35</v>
      </c>
      <c r="C25" s="32">
        <v>43789</v>
      </c>
      <c r="D25" s="29" t="s">
        <v>122</v>
      </c>
      <c r="E25" s="29" t="s">
        <v>28</v>
      </c>
      <c r="F25" s="29" t="s">
        <v>123</v>
      </c>
      <c r="G25" s="30" t="s">
        <v>107</v>
      </c>
      <c r="H25" s="29" t="s">
        <v>30</v>
      </c>
      <c r="I25" s="32">
        <v>43789</v>
      </c>
      <c r="J25" s="29"/>
      <c r="K25" s="31"/>
    </row>
    <row r="26" spans="1:11" ht="21.95" customHeight="1">
      <c r="A26" s="27">
        <v>20</v>
      </c>
      <c r="B26" s="28" t="s">
        <v>35</v>
      </c>
      <c r="C26" s="32">
        <v>43789</v>
      </c>
      <c r="D26" s="29" t="s">
        <v>124</v>
      </c>
      <c r="E26" s="29" t="s">
        <v>126</v>
      </c>
      <c r="F26" s="29" t="s">
        <v>127</v>
      </c>
      <c r="G26" s="30" t="s">
        <v>31</v>
      </c>
      <c r="H26" s="29" t="s">
        <v>17</v>
      </c>
      <c r="I26" s="32">
        <v>43789</v>
      </c>
      <c r="J26" s="29"/>
      <c r="K26" s="31"/>
    </row>
    <row r="27" spans="1:11" ht="21.95" customHeight="1">
      <c r="A27" s="27">
        <v>21</v>
      </c>
      <c r="B27" s="28" t="s">
        <v>35</v>
      </c>
      <c r="C27" s="32">
        <v>43789</v>
      </c>
      <c r="D27" s="29" t="s">
        <v>125</v>
      </c>
      <c r="E27" s="29" t="s">
        <v>128</v>
      </c>
      <c r="F27" s="29" t="s">
        <v>129</v>
      </c>
      <c r="G27" s="30" t="s">
        <v>86</v>
      </c>
      <c r="H27" s="29" t="s">
        <v>25</v>
      </c>
      <c r="I27" s="32">
        <v>43789</v>
      </c>
      <c r="J27" s="29"/>
      <c r="K27" s="31"/>
    </row>
    <row r="28" spans="1:11" ht="21.95" customHeight="1">
      <c r="A28" s="27">
        <v>22</v>
      </c>
      <c r="B28" s="28" t="s">
        <v>130</v>
      </c>
      <c r="C28" s="32">
        <v>43802</v>
      </c>
      <c r="D28" s="29" t="s">
        <v>131</v>
      </c>
      <c r="E28" s="29" t="s">
        <v>132</v>
      </c>
      <c r="F28" s="29" t="s">
        <v>133</v>
      </c>
      <c r="G28" s="30" t="s">
        <v>134</v>
      </c>
      <c r="H28" s="29" t="s">
        <v>30</v>
      </c>
      <c r="I28" s="32">
        <v>43802</v>
      </c>
      <c r="J28" s="29"/>
      <c r="K28" s="31"/>
    </row>
    <row r="29" spans="1:11" ht="21.95" customHeight="1">
      <c r="A29" s="27">
        <v>23</v>
      </c>
      <c r="B29" s="28" t="s">
        <v>130</v>
      </c>
      <c r="C29" s="32">
        <v>43802</v>
      </c>
      <c r="D29" s="29" t="s">
        <v>72</v>
      </c>
      <c r="E29" s="29" t="s">
        <v>50</v>
      </c>
      <c r="F29" s="29" t="s">
        <v>135</v>
      </c>
      <c r="G29" s="30" t="s">
        <v>86</v>
      </c>
      <c r="H29" s="29" t="s">
        <v>25</v>
      </c>
      <c r="I29" s="32">
        <v>43802</v>
      </c>
      <c r="J29" s="29"/>
      <c r="K29" s="31"/>
    </row>
  </sheetData>
  <mergeCells count="11">
    <mergeCell ref="J5:K5"/>
    <mergeCell ref="A3:K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&amp;L서식 경영지원 2018-100-009 REV.1&amp;C미성엠프로(주)&amp;RA4(210×297mm)</oddFooter>
  </headerFooter>
  <rowBreaks count="1" manualBreakCount="1">
    <brk id="21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0"/>
  <sheetViews>
    <sheetView showWhiteSpace="0" topLeftCell="A13" zoomScaleNormal="100" workbookViewId="0">
      <selection activeCell="G37" sqref="G37"/>
    </sheetView>
  </sheetViews>
  <sheetFormatPr defaultRowHeight="16.5"/>
  <cols>
    <col min="1" max="1" width="5.625" customWidth="1"/>
    <col min="2" max="2" width="6.625" customWidth="1"/>
    <col min="3" max="3" width="12.625" customWidth="1"/>
    <col min="4" max="4" width="15.625" customWidth="1"/>
    <col min="5" max="5" width="8.625" customWidth="1"/>
    <col min="6" max="6" width="10.625" customWidth="1"/>
    <col min="7" max="7" width="30.625" customWidth="1"/>
    <col min="8" max="8" width="10.625" customWidth="1"/>
    <col min="9" max="9" width="12.625" customWidth="1"/>
    <col min="10" max="11" width="8.625" customWidth="1"/>
  </cols>
  <sheetData>
    <row r="2" spans="1:11">
      <c r="A2" s="1" t="s">
        <v>0</v>
      </c>
      <c r="B2" s="1"/>
    </row>
    <row r="3" spans="1:11" ht="26.25">
      <c r="A3" s="127" t="s">
        <v>1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</row>
    <row r="4" spans="1:11" ht="17.25" thickBot="1">
      <c r="A4" s="22" t="s">
        <v>136</v>
      </c>
      <c r="B4" s="2"/>
    </row>
    <row r="5" spans="1:11" ht="21.95" customHeight="1" thickTop="1">
      <c r="A5" s="128" t="s">
        <v>2</v>
      </c>
      <c r="B5" s="123" t="s">
        <v>33</v>
      </c>
      <c r="C5" s="123" t="s">
        <v>3</v>
      </c>
      <c r="D5" s="123" t="s">
        <v>4</v>
      </c>
      <c r="E5" s="123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5" t="s">
        <v>10</v>
      </c>
      <c r="K5" s="126"/>
    </row>
    <row r="6" spans="1:11" ht="21.95" customHeight="1" thickBot="1">
      <c r="A6" s="129"/>
      <c r="B6" s="124"/>
      <c r="C6" s="124"/>
      <c r="D6" s="124"/>
      <c r="E6" s="124"/>
      <c r="F6" s="124"/>
      <c r="G6" s="124"/>
      <c r="H6" s="124"/>
      <c r="I6" s="124"/>
      <c r="J6" s="3" t="s">
        <v>11</v>
      </c>
      <c r="K6" s="4" t="s">
        <v>12</v>
      </c>
    </row>
    <row r="7" spans="1:11" ht="21.95" customHeight="1" thickTop="1">
      <c r="A7" s="5">
        <v>1</v>
      </c>
      <c r="B7" s="20" t="s">
        <v>34</v>
      </c>
      <c r="C7" s="25">
        <v>43859</v>
      </c>
      <c r="D7" s="26" t="s">
        <v>137</v>
      </c>
      <c r="E7" s="26" t="s">
        <v>37</v>
      </c>
      <c r="F7" s="26" t="s">
        <v>138</v>
      </c>
      <c r="G7" s="36" t="s">
        <v>139</v>
      </c>
      <c r="H7" s="26" t="s">
        <v>17</v>
      </c>
      <c r="I7" s="25">
        <v>43859</v>
      </c>
      <c r="J7" s="6"/>
      <c r="K7" s="8"/>
    </row>
    <row r="8" spans="1:11" ht="21.95" customHeight="1">
      <c r="A8" s="9">
        <v>2</v>
      </c>
      <c r="B8" s="20" t="s">
        <v>34</v>
      </c>
      <c r="C8" s="33">
        <v>43859</v>
      </c>
      <c r="D8" s="34" t="s">
        <v>140</v>
      </c>
      <c r="E8" s="24" t="s">
        <v>141</v>
      </c>
      <c r="F8" s="24" t="s">
        <v>142</v>
      </c>
      <c r="G8" s="35" t="s">
        <v>86</v>
      </c>
      <c r="H8" s="24" t="s">
        <v>25</v>
      </c>
      <c r="I8" s="23">
        <v>43859</v>
      </c>
      <c r="J8" s="10"/>
      <c r="K8" s="12"/>
    </row>
    <row r="9" spans="1:11" ht="21.95" customHeight="1">
      <c r="A9" s="9">
        <v>3</v>
      </c>
      <c r="B9" s="20" t="s">
        <v>143</v>
      </c>
      <c r="C9" s="18">
        <v>43908</v>
      </c>
      <c r="D9" s="10" t="s">
        <v>144</v>
      </c>
      <c r="E9" s="10" t="s">
        <v>145</v>
      </c>
      <c r="F9" s="10" t="s">
        <v>146</v>
      </c>
      <c r="G9" s="11" t="s">
        <v>147</v>
      </c>
      <c r="H9" s="10" t="s">
        <v>148</v>
      </c>
      <c r="I9" s="18">
        <v>43908</v>
      </c>
      <c r="J9" s="10"/>
      <c r="K9" s="12"/>
    </row>
    <row r="10" spans="1:11" ht="21.95" customHeight="1">
      <c r="A10" s="9">
        <v>4</v>
      </c>
      <c r="B10" s="20" t="s">
        <v>143</v>
      </c>
      <c r="C10" s="18">
        <v>43908</v>
      </c>
      <c r="D10" s="10" t="s">
        <v>140</v>
      </c>
      <c r="E10" s="10" t="s">
        <v>149</v>
      </c>
      <c r="F10" s="10" t="s">
        <v>150</v>
      </c>
      <c r="G10" s="30" t="s">
        <v>86</v>
      </c>
      <c r="H10" s="10" t="s">
        <v>151</v>
      </c>
      <c r="I10" s="18">
        <v>43908</v>
      </c>
      <c r="J10" s="10"/>
      <c r="K10" s="12"/>
    </row>
    <row r="11" spans="1:11" ht="21.95" customHeight="1">
      <c r="A11" s="9">
        <v>5</v>
      </c>
      <c r="B11" s="20" t="s">
        <v>143</v>
      </c>
      <c r="C11" s="18">
        <v>43942</v>
      </c>
      <c r="D11" s="10" t="s">
        <v>144</v>
      </c>
      <c r="E11" s="10" t="s">
        <v>152</v>
      </c>
      <c r="F11" s="10" t="s">
        <v>153</v>
      </c>
      <c r="G11" s="37" t="s">
        <v>156</v>
      </c>
      <c r="H11" s="10" t="s">
        <v>151</v>
      </c>
      <c r="I11" s="18">
        <v>43942</v>
      </c>
      <c r="J11" s="10"/>
      <c r="K11" s="12"/>
    </row>
    <row r="12" spans="1:11" ht="21.95" customHeight="1">
      <c r="A12" s="9">
        <v>6</v>
      </c>
      <c r="B12" s="20" t="s">
        <v>143</v>
      </c>
      <c r="C12" s="18">
        <v>43942</v>
      </c>
      <c r="D12" s="10" t="s">
        <v>144</v>
      </c>
      <c r="E12" s="10" t="s">
        <v>154</v>
      </c>
      <c r="F12" s="10" t="s">
        <v>155</v>
      </c>
      <c r="G12" s="11" t="s">
        <v>105</v>
      </c>
      <c r="H12" s="10" t="s">
        <v>151</v>
      </c>
      <c r="I12" s="18">
        <v>43942</v>
      </c>
      <c r="J12" s="10"/>
      <c r="K12" s="12"/>
    </row>
    <row r="13" spans="1:11" ht="21.95" customHeight="1">
      <c r="A13" s="9">
        <v>7</v>
      </c>
      <c r="B13" s="20" t="s">
        <v>143</v>
      </c>
      <c r="C13" s="18">
        <v>43942</v>
      </c>
      <c r="D13" s="10" t="s">
        <v>140</v>
      </c>
      <c r="E13" s="10" t="s">
        <v>149</v>
      </c>
      <c r="F13" s="10" t="s">
        <v>150</v>
      </c>
      <c r="G13" s="11" t="s">
        <v>86</v>
      </c>
      <c r="H13" s="10" t="s">
        <v>148</v>
      </c>
      <c r="I13" s="18">
        <v>43942</v>
      </c>
      <c r="J13" s="10"/>
      <c r="K13" s="12"/>
    </row>
    <row r="14" spans="1:11" ht="21.95" customHeight="1">
      <c r="A14" s="9">
        <v>8</v>
      </c>
      <c r="B14" s="20" t="s">
        <v>143</v>
      </c>
      <c r="C14" s="18">
        <v>43942</v>
      </c>
      <c r="D14" s="10" t="s">
        <v>140</v>
      </c>
      <c r="E14" s="10" t="s">
        <v>149</v>
      </c>
      <c r="F14" s="10" t="s">
        <v>150</v>
      </c>
      <c r="G14" s="11" t="s">
        <v>86</v>
      </c>
      <c r="H14" s="10" t="s">
        <v>148</v>
      </c>
      <c r="I14" s="18">
        <v>43942</v>
      </c>
      <c r="J14" s="10"/>
      <c r="K14" s="12"/>
    </row>
    <row r="15" spans="1:11" ht="21.95" customHeight="1">
      <c r="A15" s="9">
        <v>9</v>
      </c>
      <c r="B15" s="20" t="s">
        <v>143</v>
      </c>
      <c r="C15" s="18">
        <v>43958</v>
      </c>
      <c r="D15" s="10" t="s">
        <v>157</v>
      </c>
      <c r="E15" s="10" t="s">
        <v>158</v>
      </c>
      <c r="F15" s="10" t="s">
        <v>159</v>
      </c>
      <c r="G15" s="11" t="s">
        <v>160</v>
      </c>
      <c r="H15" s="10" t="s">
        <v>25</v>
      </c>
      <c r="I15" s="18">
        <v>43958</v>
      </c>
      <c r="J15" s="10"/>
      <c r="K15" s="12"/>
    </row>
    <row r="16" spans="1:11" ht="21.95" customHeight="1">
      <c r="A16" s="9">
        <v>10</v>
      </c>
      <c r="B16" s="20" t="s">
        <v>143</v>
      </c>
      <c r="C16" s="18">
        <v>44000</v>
      </c>
      <c r="D16" s="10" t="s">
        <v>161</v>
      </c>
      <c r="E16" s="10" t="s">
        <v>28</v>
      </c>
      <c r="F16" s="10" t="s">
        <v>162</v>
      </c>
      <c r="G16" s="11" t="s">
        <v>167</v>
      </c>
      <c r="H16" s="10" t="s">
        <v>25</v>
      </c>
      <c r="I16" s="18">
        <v>44000</v>
      </c>
      <c r="J16" s="10"/>
      <c r="K16" s="12"/>
    </row>
    <row r="17" spans="1:11" ht="21.95" customHeight="1">
      <c r="A17" s="9">
        <v>11</v>
      </c>
      <c r="B17" s="20" t="s">
        <v>143</v>
      </c>
      <c r="C17" s="18">
        <v>44000</v>
      </c>
      <c r="D17" s="10" t="s">
        <v>161</v>
      </c>
      <c r="E17" s="10" t="s">
        <v>165</v>
      </c>
      <c r="F17" s="10" t="s">
        <v>163</v>
      </c>
      <c r="G17" s="11" t="s">
        <v>182</v>
      </c>
      <c r="H17" s="10" t="s">
        <v>25</v>
      </c>
      <c r="I17" s="18">
        <v>44000</v>
      </c>
      <c r="J17" s="10"/>
      <c r="K17" s="12"/>
    </row>
    <row r="18" spans="1:11" ht="21.95" customHeight="1">
      <c r="A18" s="9">
        <v>12</v>
      </c>
      <c r="B18" s="20" t="s">
        <v>143</v>
      </c>
      <c r="C18" s="18">
        <v>44000</v>
      </c>
      <c r="D18" s="10" t="s">
        <v>161</v>
      </c>
      <c r="E18" s="10" t="s">
        <v>166</v>
      </c>
      <c r="F18" s="10" t="s">
        <v>164</v>
      </c>
      <c r="G18" s="11" t="s">
        <v>183</v>
      </c>
      <c r="H18" s="10" t="s">
        <v>25</v>
      </c>
      <c r="I18" s="18">
        <v>44000</v>
      </c>
      <c r="J18" s="10"/>
      <c r="K18" s="12"/>
    </row>
    <row r="19" spans="1:11" ht="21.95" customHeight="1">
      <c r="A19" s="9">
        <v>13</v>
      </c>
      <c r="B19" s="20" t="s">
        <v>35</v>
      </c>
      <c r="C19" s="18">
        <v>44040</v>
      </c>
      <c r="D19" s="10" t="s">
        <v>168</v>
      </c>
      <c r="E19" s="10" t="s">
        <v>28</v>
      </c>
      <c r="F19" s="10" t="s">
        <v>169</v>
      </c>
      <c r="G19" s="11" t="s">
        <v>174</v>
      </c>
      <c r="H19" s="10" t="s">
        <v>25</v>
      </c>
      <c r="I19" s="18">
        <v>44040</v>
      </c>
      <c r="J19" s="10"/>
      <c r="K19" s="12"/>
    </row>
    <row r="20" spans="1:11" ht="21.95" customHeight="1">
      <c r="A20" s="9">
        <v>14</v>
      </c>
      <c r="B20" s="20" t="s">
        <v>35</v>
      </c>
      <c r="C20" s="18">
        <v>44040</v>
      </c>
      <c r="D20" s="10" t="s">
        <v>168</v>
      </c>
      <c r="E20" s="10" t="s">
        <v>154</v>
      </c>
      <c r="F20" s="10" t="s">
        <v>170</v>
      </c>
      <c r="G20" s="11" t="s">
        <v>175</v>
      </c>
      <c r="H20" s="10" t="s">
        <v>177</v>
      </c>
      <c r="I20" s="18">
        <v>44040</v>
      </c>
      <c r="J20" s="10"/>
      <c r="K20" s="12"/>
    </row>
    <row r="21" spans="1:11" ht="21.95" customHeight="1">
      <c r="A21" s="9">
        <v>15</v>
      </c>
      <c r="B21" s="20" t="s">
        <v>35</v>
      </c>
      <c r="C21" s="18">
        <v>44040</v>
      </c>
      <c r="D21" s="10" t="s">
        <v>168</v>
      </c>
      <c r="E21" s="10" t="s">
        <v>166</v>
      </c>
      <c r="F21" s="10" t="s">
        <v>171</v>
      </c>
      <c r="G21" s="11" t="s">
        <v>176</v>
      </c>
      <c r="H21" s="10" t="s">
        <v>177</v>
      </c>
      <c r="I21" s="18">
        <v>44040</v>
      </c>
      <c r="J21" s="10"/>
      <c r="K21" s="12"/>
    </row>
    <row r="22" spans="1:11" ht="21.95" customHeight="1">
      <c r="A22" s="27">
        <v>16</v>
      </c>
      <c r="B22" s="20" t="s">
        <v>35</v>
      </c>
      <c r="C22" s="18">
        <v>44040</v>
      </c>
      <c r="D22" s="10" t="s">
        <v>172</v>
      </c>
      <c r="E22" s="29" t="s">
        <v>50</v>
      </c>
      <c r="F22" s="29" t="s">
        <v>173</v>
      </c>
      <c r="G22" s="30" t="s">
        <v>86</v>
      </c>
      <c r="H22" s="29" t="s">
        <v>25</v>
      </c>
      <c r="I22" s="18">
        <v>44040</v>
      </c>
      <c r="J22" s="29"/>
      <c r="K22" s="31"/>
    </row>
    <row r="23" spans="1:11" ht="21.95" customHeight="1">
      <c r="A23" s="27">
        <v>17</v>
      </c>
      <c r="B23" s="20" t="s">
        <v>34</v>
      </c>
      <c r="C23" s="32">
        <v>44123</v>
      </c>
      <c r="D23" s="29" t="s">
        <v>178</v>
      </c>
      <c r="E23" s="29" t="s">
        <v>179</v>
      </c>
      <c r="F23" s="29" t="s">
        <v>180</v>
      </c>
      <c r="G23" s="30" t="s">
        <v>181</v>
      </c>
      <c r="H23" s="29" t="s">
        <v>184</v>
      </c>
      <c r="I23" s="32">
        <v>44123</v>
      </c>
      <c r="J23" s="29"/>
      <c r="K23" s="31"/>
    </row>
    <row r="24" spans="1:11" ht="21.95" customHeight="1">
      <c r="A24" s="27">
        <v>18</v>
      </c>
      <c r="B24" s="20" t="s">
        <v>185</v>
      </c>
      <c r="C24" s="32">
        <v>44139</v>
      </c>
      <c r="D24" s="29" t="s">
        <v>186</v>
      </c>
      <c r="E24" s="29" t="s">
        <v>28</v>
      </c>
      <c r="F24" s="29" t="s">
        <v>187</v>
      </c>
      <c r="G24" s="30" t="s">
        <v>188</v>
      </c>
      <c r="H24" s="29" t="s">
        <v>189</v>
      </c>
      <c r="I24" s="32">
        <v>44139</v>
      </c>
      <c r="J24" s="29"/>
      <c r="K24" s="31"/>
    </row>
    <row r="25" spans="1:11" ht="21.95" customHeight="1">
      <c r="A25" s="27">
        <v>19</v>
      </c>
      <c r="B25" s="20" t="s">
        <v>185</v>
      </c>
      <c r="C25" s="32">
        <v>44172</v>
      </c>
      <c r="D25" s="29" t="s">
        <v>190</v>
      </c>
      <c r="E25" s="29" t="s">
        <v>191</v>
      </c>
      <c r="F25" s="29" t="s">
        <v>129</v>
      </c>
      <c r="G25" s="30" t="s">
        <v>196</v>
      </c>
      <c r="H25" s="29" t="s">
        <v>197</v>
      </c>
      <c r="I25" s="32">
        <v>44172</v>
      </c>
      <c r="J25" s="29"/>
      <c r="K25" s="31"/>
    </row>
    <row r="26" spans="1:11" ht="21.95" customHeight="1">
      <c r="A26" s="27">
        <v>20</v>
      </c>
      <c r="B26" s="20" t="s">
        <v>185</v>
      </c>
      <c r="C26" s="32">
        <v>44172</v>
      </c>
      <c r="D26" s="29" t="s">
        <v>190</v>
      </c>
      <c r="E26" s="29" t="s">
        <v>192</v>
      </c>
      <c r="F26" s="29" t="s">
        <v>193</v>
      </c>
      <c r="G26" s="30" t="s">
        <v>196</v>
      </c>
      <c r="H26" s="29" t="s">
        <v>198</v>
      </c>
      <c r="I26" s="32">
        <v>44172</v>
      </c>
      <c r="J26" s="29"/>
      <c r="K26" s="31"/>
    </row>
    <row r="27" spans="1:11" ht="21.95" customHeight="1">
      <c r="A27" s="27">
        <v>21</v>
      </c>
      <c r="B27" s="20" t="s">
        <v>185</v>
      </c>
      <c r="C27" s="32">
        <v>44172</v>
      </c>
      <c r="D27" s="29" t="s">
        <v>190</v>
      </c>
      <c r="E27" s="29" t="s">
        <v>194</v>
      </c>
      <c r="F27" s="29" t="s">
        <v>195</v>
      </c>
      <c r="G27" s="30" t="s">
        <v>196</v>
      </c>
      <c r="H27" s="29" t="s">
        <v>199</v>
      </c>
      <c r="I27" s="32">
        <v>44172</v>
      </c>
      <c r="J27" s="29"/>
      <c r="K27" s="31"/>
    </row>
    <row r="28" spans="1:11" ht="21.95" customHeight="1">
      <c r="A28" s="27">
        <v>22</v>
      </c>
      <c r="B28" s="28" t="s">
        <v>34</v>
      </c>
      <c r="C28" s="32">
        <v>44189</v>
      </c>
      <c r="D28" s="29" t="s">
        <v>205</v>
      </c>
      <c r="E28" s="29" t="s">
        <v>206</v>
      </c>
      <c r="F28" s="29" t="s">
        <v>207</v>
      </c>
      <c r="G28" s="30" t="s">
        <v>208</v>
      </c>
      <c r="H28" s="29" t="s">
        <v>209</v>
      </c>
      <c r="I28" s="32">
        <v>44189</v>
      </c>
      <c r="J28" s="29"/>
      <c r="K28" s="31"/>
    </row>
    <row r="29" spans="1:11" ht="21.95" customHeight="1" thickBot="1">
      <c r="A29" s="108">
        <v>23</v>
      </c>
      <c r="B29" s="109" t="s">
        <v>35</v>
      </c>
      <c r="C29" s="110">
        <v>44196</v>
      </c>
      <c r="D29" s="111" t="s">
        <v>178</v>
      </c>
      <c r="E29" s="111" t="s">
        <v>14</v>
      </c>
      <c r="F29" s="111" t="s">
        <v>200</v>
      </c>
      <c r="G29" s="112" t="s">
        <v>201</v>
      </c>
      <c r="H29" s="111" t="s">
        <v>30</v>
      </c>
      <c r="I29" s="110">
        <v>44196</v>
      </c>
      <c r="J29" s="111"/>
      <c r="K29" s="113"/>
    </row>
    <row r="30" spans="1:11" ht="17.25" thickTop="1"/>
  </sheetData>
  <mergeCells count="11">
    <mergeCell ref="J5:K5"/>
    <mergeCell ref="A3:K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&amp;L서식 경영지원 2018-100-009 REV.1&amp;C미성엠프로(주)&amp;RA4(210×297mm)</oddFooter>
  </headerFooter>
  <rowBreaks count="1" manualBreakCount="1">
    <brk id="21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6"/>
  <sheetViews>
    <sheetView showWhiteSpace="0" topLeftCell="A19" zoomScaleNormal="100" workbookViewId="0">
      <selection activeCell="B15" sqref="B15"/>
    </sheetView>
  </sheetViews>
  <sheetFormatPr defaultRowHeight="16.5"/>
  <cols>
    <col min="1" max="1" width="5.625" customWidth="1"/>
    <col min="2" max="2" width="6.625" customWidth="1"/>
    <col min="3" max="3" width="12.625" customWidth="1"/>
    <col min="4" max="4" width="15.625" customWidth="1"/>
    <col min="5" max="5" width="8.625" customWidth="1"/>
    <col min="6" max="6" width="10.625" customWidth="1"/>
    <col min="7" max="7" width="30.625" customWidth="1"/>
    <col min="8" max="8" width="10.625" customWidth="1"/>
    <col min="9" max="9" width="12.625" customWidth="1"/>
    <col min="10" max="11" width="8.625" customWidth="1"/>
  </cols>
  <sheetData>
    <row r="2" spans="1:11">
      <c r="A2" s="1" t="s">
        <v>0</v>
      </c>
      <c r="B2" s="1"/>
    </row>
    <row r="3" spans="1:11" ht="26.25">
      <c r="A3" s="127" t="s">
        <v>1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</row>
    <row r="4" spans="1:11" ht="17.25" thickBot="1">
      <c r="A4" s="22" t="s">
        <v>213</v>
      </c>
      <c r="B4" s="2"/>
    </row>
    <row r="5" spans="1:11" ht="21.95" customHeight="1" thickTop="1">
      <c r="A5" s="128" t="s">
        <v>2</v>
      </c>
      <c r="B5" s="123" t="s">
        <v>33</v>
      </c>
      <c r="C5" s="123" t="s">
        <v>3</v>
      </c>
      <c r="D5" s="123" t="s">
        <v>4</v>
      </c>
      <c r="E5" s="123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5" t="s">
        <v>10</v>
      </c>
      <c r="K5" s="126"/>
    </row>
    <row r="6" spans="1:11" ht="21.95" customHeight="1" thickBot="1">
      <c r="A6" s="129"/>
      <c r="B6" s="124"/>
      <c r="C6" s="124"/>
      <c r="D6" s="124"/>
      <c r="E6" s="124"/>
      <c r="F6" s="124"/>
      <c r="G6" s="124"/>
      <c r="H6" s="124"/>
      <c r="I6" s="124"/>
      <c r="J6" s="3" t="s">
        <v>11</v>
      </c>
      <c r="K6" s="4" t="s">
        <v>12</v>
      </c>
    </row>
    <row r="7" spans="1:11" ht="24.95" customHeight="1" thickTop="1">
      <c r="A7" s="5">
        <v>1</v>
      </c>
      <c r="B7" s="20" t="s">
        <v>34</v>
      </c>
      <c r="C7" s="25">
        <v>44251</v>
      </c>
      <c r="D7" s="26" t="s">
        <v>214</v>
      </c>
      <c r="E7" s="26" t="s">
        <v>14</v>
      </c>
      <c r="F7" s="26" t="s">
        <v>215</v>
      </c>
      <c r="G7" s="36" t="s">
        <v>216</v>
      </c>
      <c r="H7" s="26" t="s">
        <v>217</v>
      </c>
      <c r="I7" s="25">
        <v>44252</v>
      </c>
      <c r="J7" s="6"/>
      <c r="K7" s="8"/>
    </row>
    <row r="8" spans="1:11" ht="24.95" customHeight="1">
      <c r="A8" s="9">
        <v>2</v>
      </c>
      <c r="B8" s="20" t="s">
        <v>71</v>
      </c>
      <c r="C8" s="33">
        <v>44285</v>
      </c>
      <c r="D8" s="34" t="s">
        <v>26</v>
      </c>
      <c r="E8" s="24" t="s">
        <v>218</v>
      </c>
      <c r="F8" s="24" t="s">
        <v>219</v>
      </c>
      <c r="G8" s="35" t="s">
        <v>220</v>
      </c>
      <c r="H8" s="44" t="s">
        <v>221</v>
      </c>
      <c r="I8" s="23">
        <v>44285</v>
      </c>
      <c r="J8" s="10"/>
      <c r="K8" s="12"/>
    </row>
    <row r="9" spans="1:11" ht="24.95" customHeight="1">
      <c r="A9" s="9">
        <v>3</v>
      </c>
      <c r="B9" s="20" t="s">
        <v>71</v>
      </c>
      <c r="C9" s="18"/>
      <c r="D9" s="10" t="s">
        <v>222</v>
      </c>
      <c r="E9" s="10" t="s">
        <v>223</v>
      </c>
      <c r="F9" s="10" t="s">
        <v>224</v>
      </c>
      <c r="G9" s="11" t="s">
        <v>225</v>
      </c>
      <c r="H9" s="24" t="s">
        <v>221</v>
      </c>
      <c r="I9" s="18">
        <v>44285</v>
      </c>
      <c r="J9" s="10"/>
      <c r="K9" s="12"/>
    </row>
    <row r="10" spans="1:11" ht="24.95" customHeight="1">
      <c r="A10" s="9">
        <v>4</v>
      </c>
      <c r="B10" s="20" t="s">
        <v>71</v>
      </c>
      <c r="C10" s="18">
        <v>44292</v>
      </c>
      <c r="D10" s="10" t="s">
        <v>227</v>
      </c>
      <c r="E10" s="10" t="s">
        <v>228</v>
      </c>
      <c r="F10" s="10" t="s">
        <v>229</v>
      </c>
      <c r="G10" s="30" t="s">
        <v>230</v>
      </c>
      <c r="H10" s="10" t="s">
        <v>231</v>
      </c>
      <c r="I10" s="18">
        <v>44292</v>
      </c>
      <c r="J10" s="10"/>
      <c r="K10" s="12"/>
    </row>
    <row r="11" spans="1:11" ht="24.95" customHeight="1">
      <c r="A11" s="9">
        <v>5</v>
      </c>
      <c r="B11" s="20" t="s">
        <v>71</v>
      </c>
      <c r="C11" s="18"/>
      <c r="D11" s="10" t="s">
        <v>109</v>
      </c>
      <c r="E11" s="10" t="s">
        <v>232</v>
      </c>
      <c r="F11" s="10" t="s">
        <v>193</v>
      </c>
      <c r="G11" s="37" t="s">
        <v>233</v>
      </c>
      <c r="H11" s="10" t="s">
        <v>108</v>
      </c>
      <c r="I11" s="18">
        <v>44292</v>
      </c>
      <c r="J11" s="10"/>
      <c r="K11" s="12"/>
    </row>
    <row r="12" spans="1:11" ht="24.95" customHeight="1">
      <c r="A12" s="9">
        <v>6</v>
      </c>
      <c r="B12" s="20" t="s">
        <v>101</v>
      </c>
      <c r="C12" s="18">
        <v>44364</v>
      </c>
      <c r="D12" s="10" t="s">
        <v>236</v>
      </c>
      <c r="E12" s="10" t="s">
        <v>234</v>
      </c>
      <c r="F12" s="10" t="s">
        <v>235</v>
      </c>
      <c r="G12" s="11" t="s">
        <v>237</v>
      </c>
      <c r="H12" s="10" t="s">
        <v>238</v>
      </c>
      <c r="I12" s="18">
        <v>44370</v>
      </c>
      <c r="J12" s="10"/>
      <c r="K12" s="12"/>
    </row>
    <row r="13" spans="1:11" ht="24.95" customHeight="1">
      <c r="A13" s="9">
        <v>7</v>
      </c>
      <c r="B13" s="20" t="s">
        <v>101</v>
      </c>
      <c r="C13" s="18"/>
      <c r="D13" s="10" t="s">
        <v>236</v>
      </c>
      <c r="E13" s="10" t="s">
        <v>239</v>
      </c>
      <c r="F13" s="10" t="s">
        <v>240</v>
      </c>
      <c r="G13" s="11" t="s">
        <v>241</v>
      </c>
      <c r="H13" s="10" t="s">
        <v>108</v>
      </c>
      <c r="I13" s="18">
        <v>44370</v>
      </c>
      <c r="J13" s="10"/>
      <c r="K13" s="12"/>
    </row>
    <row r="14" spans="1:11" ht="24.95" customHeight="1">
      <c r="A14" s="9">
        <v>8</v>
      </c>
      <c r="B14" s="20" t="s">
        <v>71</v>
      </c>
      <c r="C14" s="18">
        <v>44389</v>
      </c>
      <c r="D14" s="10" t="s">
        <v>243</v>
      </c>
      <c r="E14" s="10" t="s">
        <v>14</v>
      </c>
      <c r="F14" s="10" t="s">
        <v>244</v>
      </c>
      <c r="G14" s="11" t="s">
        <v>246</v>
      </c>
      <c r="H14" s="10" t="s">
        <v>226</v>
      </c>
      <c r="I14" s="18">
        <v>44389</v>
      </c>
      <c r="J14" s="10"/>
      <c r="K14" s="12"/>
    </row>
    <row r="15" spans="1:11" ht="24.95" customHeight="1">
      <c r="A15" s="9">
        <v>9</v>
      </c>
      <c r="B15" s="20" t="s">
        <v>242</v>
      </c>
      <c r="C15" s="18"/>
      <c r="D15" s="10"/>
      <c r="E15" s="10" t="s">
        <v>14</v>
      </c>
      <c r="F15" s="10" t="s">
        <v>245</v>
      </c>
      <c r="G15" s="11" t="s">
        <v>247</v>
      </c>
      <c r="H15" s="10" t="s">
        <v>248</v>
      </c>
      <c r="I15" s="18">
        <v>44389</v>
      </c>
      <c r="J15" s="10"/>
      <c r="K15" s="12"/>
    </row>
    <row r="16" spans="1:11" ht="24.95" customHeight="1">
      <c r="A16" s="9">
        <v>10</v>
      </c>
      <c r="B16" s="20" t="s">
        <v>101</v>
      </c>
      <c r="C16" s="18">
        <v>44438</v>
      </c>
      <c r="D16" s="10" t="s">
        <v>249</v>
      </c>
      <c r="E16" s="10" t="s">
        <v>250</v>
      </c>
      <c r="F16" s="10" t="s">
        <v>251</v>
      </c>
      <c r="G16" s="11" t="s">
        <v>252</v>
      </c>
      <c r="H16" s="10" t="s">
        <v>253</v>
      </c>
      <c r="I16" s="18">
        <v>44445</v>
      </c>
      <c r="J16" s="10"/>
      <c r="K16" s="12"/>
    </row>
    <row r="17" spans="1:11" ht="24.95" customHeight="1">
      <c r="A17" s="9">
        <v>11</v>
      </c>
      <c r="B17" s="20" t="s">
        <v>101</v>
      </c>
      <c r="C17" s="18">
        <v>44455</v>
      </c>
      <c r="D17" s="10" t="s">
        <v>257</v>
      </c>
      <c r="E17" s="10" t="s">
        <v>254</v>
      </c>
      <c r="F17" s="10" t="s">
        <v>255</v>
      </c>
      <c r="G17" s="11" t="s">
        <v>259</v>
      </c>
      <c r="H17" s="10" t="s">
        <v>262</v>
      </c>
      <c r="I17" s="18">
        <v>44463</v>
      </c>
      <c r="J17" s="10"/>
      <c r="K17" s="12"/>
    </row>
    <row r="18" spans="1:11" ht="24.95" customHeight="1">
      <c r="A18" s="9">
        <v>12</v>
      </c>
      <c r="B18" s="20" t="s">
        <v>101</v>
      </c>
      <c r="C18" s="18"/>
      <c r="D18" s="10" t="s">
        <v>265</v>
      </c>
      <c r="E18" s="10" t="s">
        <v>132</v>
      </c>
      <c r="F18" s="10" t="s">
        <v>83</v>
      </c>
      <c r="G18" s="11" t="s">
        <v>260</v>
      </c>
      <c r="H18" s="10" t="s">
        <v>262</v>
      </c>
      <c r="I18" s="18">
        <v>44463</v>
      </c>
      <c r="J18" s="10"/>
      <c r="K18" s="12"/>
    </row>
    <row r="19" spans="1:11" ht="24.95" customHeight="1">
      <c r="A19" s="9">
        <v>13</v>
      </c>
      <c r="B19" s="20" t="s">
        <v>101</v>
      </c>
      <c r="C19" s="18"/>
      <c r="D19" s="10" t="s">
        <v>258</v>
      </c>
      <c r="E19" s="10" t="s">
        <v>132</v>
      </c>
      <c r="F19" s="10" t="s">
        <v>256</v>
      </c>
      <c r="G19" s="11" t="s">
        <v>261</v>
      </c>
      <c r="H19" s="10" t="s">
        <v>263</v>
      </c>
      <c r="I19" s="18">
        <v>44463</v>
      </c>
      <c r="J19" s="10"/>
      <c r="K19" s="12"/>
    </row>
    <row r="20" spans="1:11" ht="24.95" customHeight="1">
      <c r="A20" s="9">
        <v>14</v>
      </c>
      <c r="B20" s="20" t="s">
        <v>101</v>
      </c>
      <c r="C20" s="18">
        <v>44497</v>
      </c>
      <c r="D20" s="10" t="s">
        <v>264</v>
      </c>
      <c r="E20" s="10" t="s">
        <v>14</v>
      </c>
      <c r="F20" s="10" t="s">
        <v>267</v>
      </c>
      <c r="G20" s="11" t="s">
        <v>269</v>
      </c>
      <c r="H20" s="10" t="s">
        <v>270</v>
      </c>
      <c r="I20" s="18">
        <v>44502</v>
      </c>
      <c r="J20" s="10"/>
      <c r="K20" s="12"/>
    </row>
    <row r="21" spans="1:11" ht="24.95" customHeight="1">
      <c r="A21" s="9">
        <v>15</v>
      </c>
      <c r="B21" s="20" t="s">
        <v>101</v>
      </c>
      <c r="C21" s="18"/>
      <c r="D21" s="10" t="s">
        <v>264</v>
      </c>
      <c r="E21" s="10" t="s">
        <v>266</v>
      </c>
      <c r="F21" s="10" t="s">
        <v>268</v>
      </c>
      <c r="G21" s="11" t="s">
        <v>269</v>
      </c>
      <c r="H21" s="10" t="s">
        <v>270</v>
      </c>
      <c r="I21" s="18">
        <v>44502</v>
      </c>
      <c r="J21" s="10"/>
      <c r="K21" s="12"/>
    </row>
    <row r="22" spans="1:11" ht="24.95" customHeight="1">
      <c r="A22" s="27">
        <v>16</v>
      </c>
      <c r="B22" s="20" t="s">
        <v>35</v>
      </c>
      <c r="C22" s="18">
        <v>44502</v>
      </c>
      <c r="D22" s="10" t="s">
        <v>280</v>
      </c>
      <c r="E22" s="29" t="s">
        <v>273</v>
      </c>
      <c r="F22" s="29" t="s">
        <v>284</v>
      </c>
      <c r="G22" s="30" t="s">
        <v>287</v>
      </c>
      <c r="H22" s="29" t="s">
        <v>289</v>
      </c>
      <c r="I22" s="18">
        <v>44502</v>
      </c>
      <c r="J22" s="29"/>
      <c r="K22" s="31"/>
    </row>
    <row r="23" spans="1:11" ht="24.95" customHeight="1">
      <c r="A23" s="27">
        <v>17</v>
      </c>
      <c r="B23" s="20" t="s">
        <v>279</v>
      </c>
      <c r="C23" s="32"/>
      <c r="D23" s="10" t="s">
        <v>280</v>
      </c>
      <c r="E23" s="29" t="s">
        <v>282</v>
      </c>
      <c r="F23" s="29" t="s">
        <v>285</v>
      </c>
      <c r="G23" s="30" t="s">
        <v>287</v>
      </c>
      <c r="H23" s="29" t="s">
        <v>290</v>
      </c>
      <c r="I23" s="18">
        <v>44502</v>
      </c>
      <c r="J23" s="29"/>
      <c r="K23" s="31"/>
    </row>
    <row r="24" spans="1:11" ht="24.95" customHeight="1">
      <c r="A24" s="27">
        <v>18</v>
      </c>
      <c r="B24" s="20" t="s">
        <v>279</v>
      </c>
      <c r="C24" s="32"/>
      <c r="D24" s="29" t="s">
        <v>281</v>
      </c>
      <c r="E24" s="29" t="s">
        <v>283</v>
      </c>
      <c r="F24" s="29" t="s">
        <v>286</v>
      </c>
      <c r="G24" s="30" t="s">
        <v>288</v>
      </c>
      <c r="H24" s="29" t="s">
        <v>291</v>
      </c>
      <c r="I24" s="18">
        <v>44502</v>
      </c>
      <c r="J24" s="29"/>
      <c r="K24" s="31"/>
    </row>
    <row r="25" spans="1:11" ht="24.95" customHeight="1">
      <c r="A25" s="27">
        <v>19</v>
      </c>
      <c r="B25" s="20" t="s">
        <v>279</v>
      </c>
      <c r="C25" s="18">
        <v>44503</v>
      </c>
      <c r="D25" s="10" t="s">
        <v>271</v>
      </c>
      <c r="E25" s="29" t="s">
        <v>273</v>
      </c>
      <c r="F25" s="29" t="s">
        <v>275</v>
      </c>
      <c r="G25" s="30" t="s">
        <v>277</v>
      </c>
      <c r="H25" s="29" t="s">
        <v>108</v>
      </c>
      <c r="I25" s="18">
        <v>44508</v>
      </c>
      <c r="J25" s="29"/>
      <c r="K25" s="31"/>
    </row>
    <row r="26" spans="1:11" ht="24.95" customHeight="1">
      <c r="A26" s="27">
        <v>20</v>
      </c>
      <c r="B26" s="20" t="s">
        <v>279</v>
      </c>
      <c r="C26" s="32"/>
      <c r="D26" s="10" t="s">
        <v>272</v>
      </c>
      <c r="E26" s="29" t="s">
        <v>274</v>
      </c>
      <c r="F26" s="29" t="s">
        <v>276</v>
      </c>
      <c r="G26" s="30" t="s">
        <v>278</v>
      </c>
      <c r="H26" s="29" t="s">
        <v>263</v>
      </c>
      <c r="I26" s="18">
        <v>44508</v>
      </c>
      <c r="J26" s="29"/>
      <c r="K26" s="31"/>
    </row>
    <row r="27" spans="1:11" ht="24.95" customHeight="1">
      <c r="A27" s="27">
        <v>21</v>
      </c>
      <c r="B27" s="20" t="s">
        <v>101</v>
      </c>
      <c r="C27" s="32">
        <v>44504</v>
      </c>
      <c r="D27" s="29" t="s">
        <v>292</v>
      </c>
      <c r="E27" s="29" t="s">
        <v>293</v>
      </c>
      <c r="F27" s="29" t="s">
        <v>294</v>
      </c>
      <c r="G27" s="30" t="s">
        <v>295</v>
      </c>
      <c r="H27" s="29" t="s">
        <v>296</v>
      </c>
      <c r="I27" s="32">
        <v>44504</v>
      </c>
      <c r="J27" s="29"/>
      <c r="K27" s="31"/>
    </row>
    <row r="28" spans="1:11" ht="24.95" customHeight="1">
      <c r="A28" s="27">
        <v>22</v>
      </c>
      <c r="B28" s="28" t="s">
        <v>297</v>
      </c>
      <c r="C28" s="32">
        <v>44545</v>
      </c>
      <c r="D28" s="29" t="s">
        <v>298</v>
      </c>
      <c r="E28" s="29" t="s">
        <v>132</v>
      </c>
      <c r="F28" s="29" t="s">
        <v>299</v>
      </c>
      <c r="G28" s="30" t="s">
        <v>300</v>
      </c>
      <c r="H28" s="29" t="s">
        <v>301</v>
      </c>
      <c r="I28" s="32" t="s">
        <v>302</v>
      </c>
      <c r="J28" s="29"/>
      <c r="K28" s="31"/>
    </row>
    <row r="29" spans="1:11" ht="24.95" customHeight="1">
      <c r="A29" s="27">
        <v>23</v>
      </c>
      <c r="B29" s="28" t="s">
        <v>101</v>
      </c>
      <c r="C29" s="32">
        <v>44560</v>
      </c>
      <c r="D29" s="29" t="s">
        <v>303</v>
      </c>
      <c r="E29" s="29" t="s">
        <v>47</v>
      </c>
      <c r="F29" s="29" t="s">
        <v>304</v>
      </c>
      <c r="G29" s="30" t="s">
        <v>305</v>
      </c>
      <c r="H29" s="29"/>
      <c r="I29" s="32"/>
      <c r="J29" s="29"/>
      <c r="K29" s="31"/>
    </row>
    <row r="30" spans="1:11" ht="24.95" customHeight="1">
      <c r="A30" s="27">
        <v>24</v>
      </c>
      <c r="B30" s="28" t="s">
        <v>101</v>
      </c>
      <c r="C30" s="29"/>
      <c r="D30" s="29" t="s">
        <v>303</v>
      </c>
      <c r="E30" s="29" t="s">
        <v>47</v>
      </c>
      <c r="F30" s="29" t="s">
        <v>306</v>
      </c>
      <c r="G30" s="30" t="s">
        <v>316</v>
      </c>
      <c r="H30" s="29"/>
      <c r="I30" s="29"/>
      <c r="J30" s="29"/>
      <c r="K30" s="31"/>
    </row>
    <row r="31" spans="1:11" ht="24.95" customHeight="1">
      <c r="A31" s="27">
        <v>25</v>
      </c>
      <c r="B31" s="28" t="s">
        <v>101</v>
      </c>
      <c r="C31" s="29"/>
      <c r="D31" s="29" t="s">
        <v>303</v>
      </c>
      <c r="E31" s="29" t="s">
        <v>307</v>
      </c>
      <c r="F31" s="29" t="s">
        <v>308</v>
      </c>
      <c r="G31" s="30" t="s">
        <v>316</v>
      </c>
      <c r="H31" s="29"/>
      <c r="I31" s="29"/>
      <c r="J31" s="29"/>
      <c r="K31" s="31"/>
    </row>
    <row r="32" spans="1:11" ht="24.95" customHeight="1">
      <c r="A32" s="27">
        <v>26</v>
      </c>
      <c r="B32" s="28" t="s">
        <v>101</v>
      </c>
      <c r="C32" s="29"/>
      <c r="D32" s="29" t="s">
        <v>303</v>
      </c>
      <c r="E32" s="29" t="s">
        <v>309</v>
      </c>
      <c r="F32" s="29" t="s">
        <v>310</v>
      </c>
      <c r="G32" s="30" t="s">
        <v>317</v>
      </c>
      <c r="H32" s="29"/>
      <c r="I32" s="29"/>
      <c r="J32" s="29"/>
      <c r="K32" s="31"/>
    </row>
    <row r="33" spans="1:11" ht="24.95" customHeight="1">
      <c r="A33" s="27">
        <v>27</v>
      </c>
      <c r="B33" s="28" t="s">
        <v>101</v>
      </c>
      <c r="C33" s="29"/>
      <c r="D33" s="29" t="s">
        <v>311</v>
      </c>
      <c r="E33" s="29" t="s">
        <v>309</v>
      </c>
      <c r="F33" s="29" t="s">
        <v>312</v>
      </c>
      <c r="G33" s="30" t="s">
        <v>317</v>
      </c>
      <c r="H33" s="29"/>
      <c r="I33" s="29"/>
      <c r="J33" s="29"/>
      <c r="K33" s="31"/>
    </row>
    <row r="34" spans="1:11" ht="24.95" customHeight="1">
      <c r="A34" s="27">
        <v>28</v>
      </c>
      <c r="B34" s="28" t="s">
        <v>101</v>
      </c>
      <c r="C34" s="29"/>
      <c r="D34" s="29" t="s">
        <v>313</v>
      </c>
      <c r="E34" s="29" t="s">
        <v>314</v>
      </c>
      <c r="F34" s="29" t="s">
        <v>315</v>
      </c>
      <c r="G34" s="30" t="s">
        <v>317</v>
      </c>
      <c r="H34" s="29"/>
      <c r="I34" s="29"/>
      <c r="J34" s="29"/>
      <c r="K34" s="31"/>
    </row>
    <row r="35" spans="1:11" ht="24.95" customHeight="1" thickBot="1">
      <c r="A35" s="108">
        <v>29</v>
      </c>
      <c r="B35" s="109" t="s">
        <v>101</v>
      </c>
      <c r="C35" s="110">
        <v>44560</v>
      </c>
      <c r="D35" s="111" t="s">
        <v>303</v>
      </c>
      <c r="E35" s="111" t="s">
        <v>309</v>
      </c>
      <c r="F35" s="111" t="s">
        <v>310</v>
      </c>
      <c r="G35" s="112" t="s">
        <v>300</v>
      </c>
      <c r="H35" s="111"/>
      <c r="I35" s="111"/>
      <c r="J35" s="111"/>
      <c r="K35" s="113"/>
    </row>
    <row r="36" spans="1:11" ht="17.25" thickTop="1"/>
  </sheetData>
  <mergeCells count="11">
    <mergeCell ref="J5:K5"/>
    <mergeCell ref="A3:K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&amp;L서식 경영지원 2018-100-009 REV.1&amp;C미성엠프로(주)&amp;RA4(210×297mm)</oddFooter>
  </headerFooter>
  <rowBreaks count="1" manualBreakCount="1">
    <brk id="21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16"/>
  <sheetViews>
    <sheetView showWhiteSpace="0" zoomScaleNormal="100" workbookViewId="0">
      <selection activeCell="A8" sqref="A8"/>
    </sheetView>
  </sheetViews>
  <sheetFormatPr defaultRowHeight="16.5"/>
  <cols>
    <col min="1" max="1" width="5.625" customWidth="1"/>
    <col min="2" max="2" width="6.625" customWidth="1"/>
    <col min="3" max="3" width="12.625" customWidth="1"/>
    <col min="4" max="4" width="15.625" customWidth="1"/>
    <col min="5" max="5" width="8.625" customWidth="1"/>
    <col min="6" max="6" width="10.625" customWidth="1"/>
    <col min="7" max="7" width="30.625" customWidth="1"/>
    <col min="8" max="8" width="10.625" customWidth="1"/>
    <col min="9" max="9" width="12.625" customWidth="1"/>
    <col min="10" max="11" width="8.625" customWidth="1"/>
  </cols>
  <sheetData>
    <row r="2" spans="1:11">
      <c r="A2" s="1" t="s">
        <v>0</v>
      </c>
      <c r="B2" s="1"/>
    </row>
    <row r="3" spans="1:11" ht="26.25">
      <c r="A3" s="127" t="s">
        <v>1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</row>
    <row r="4" spans="1:11" ht="17.25" thickBot="1">
      <c r="A4" s="22" t="s">
        <v>318</v>
      </c>
      <c r="B4" s="2"/>
    </row>
    <row r="5" spans="1:11" ht="21.95" customHeight="1" thickTop="1">
      <c r="A5" s="128" t="s">
        <v>2</v>
      </c>
      <c r="B5" s="123" t="s">
        <v>33</v>
      </c>
      <c r="C5" s="123" t="s">
        <v>3</v>
      </c>
      <c r="D5" s="123" t="s">
        <v>4</v>
      </c>
      <c r="E5" s="123" t="s">
        <v>5</v>
      </c>
      <c r="F5" s="123" t="s">
        <v>6</v>
      </c>
      <c r="G5" s="123" t="s">
        <v>7</v>
      </c>
      <c r="H5" s="123" t="s">
        <v>8</v>
      </c>
      <c r="I5" s="123" t="s">
        <v>9</v>
      </c>
      <c r="J5" s="125" t="s">
        <v>10</v>
      </c>
      <c r="K5" s="126"/>
    </row>
    <row r="6" spans="1:11" ht="21.95" customHeight="1" thickBot="1">
      <c r="A6" s="129"/>
      <c r="B6" s="124"/>
      <c r="C6" s="124"/>
      <c r="D6" s="124"/>
      <c r="E6" s="124"/>
      <c r="F6" s="124"/>
      <c r="G6" s="124"/>
      <c r="H6" s="124"/>
      <c r="I6" s="124"/>
      <c r="J6" s="3" t="s">
        <v>11</v>
      </c>
      <c r="K6" s="4" t="s">
        <v>12</v>
      </c>
    </row>
    <row r="7" spans="1:11" ht="24.95" customHeight="1" thickTop="1">
      <c r="A7" s="5">
        <v>1</v>
      </c>
      <c r="B7" s="20" t="s">
        <v>319</v>
      </c>
      <c r="C7" s="25">
        <v>44602</v>
      </c>
      <c r="D7" s="26" t="s">
        <v>320</v>
      </c>
      <c r="E7" s="26" t="s">
        <v>43</v>
      </c>
      <c r="F7" s="26" t="s">
        <v>321</v>
      </c>
      <c r="G7" s="36" t="s">
        <v>323</v>
      </c>
      <c r="H7" s="26" t="s">
        <v>325</v>
      </c>
      <c r="I7" s="25">
        <v>44603</v>
      </c>
      <c r="J7" s="6"/>
      <c r="K7" s="8"/>
    </row>
    <row r="8" spans="1:11" ht="24.95" customHeight="1">
      <c r="A8" s="9">
        <v>2</v>
      </c>
      <c r="B8" s="20" t="s">
        <v>34</v>
      </c>
      <c r="C8" s="33">
        <v>44602</v>
      </c>
      <c r="D8" s="34" t="s">
        <v>328</v>
      </c>
      <c r="E8" s="24" t="s">
        <v>327</v>
      </c>
      <c r="F8" s="24" t="s">
        <v>326</v>
      </c>
      <c r="G8" s="35" t="s">
        <v>322</v>
      </c>
      <c r="H8" s="44" t="s">
        <v>324</v>
      </c>
      <c r="I8" s="23">
        <v>44603</v>
      </c>
      <c r="J8" s="10"/>
      <c r="K8" s="12"/>
    </row>
    <row r="9" spans="1:11" ht="24.95" customHeight="1">
      <c r="A9" s="9">
        <v>3</v>
      </c>
      <c r="B9" s="20" t="s">
        <v>34</v>
      </c>
      <c r="C9" s="18">
        <v>44658</v>
      </c>
      <c r="D9" s="10" t="s">
        <v>329</v>
      </c>
      <c r="E9" s="10" t="s">
        <v>14</v>
      </c>
      <c r="F9" s="10" t="s">
        <v>330</v>
      </c>
      <c r="G9" s="11" t="s">
        <v>331</v>
      </c>
      <c r="H9" s="10" t="s">
        <v>17</v>
      </c>
      <c r="I9" s="18">
        <v>44679</v>
      </c>
      <c r="J9" s="10"/>
      <c r="K9" s="12"/>
    </row>
    <row r="10" spans="1:11" ht="24.95" customHeight="1">
      <c r="A10" s="9">
        <v>4</v>
      </c>
      <c r="B10" s="20" t="s">
        <v>35</v>
      </c>
      <c r="C10" s="18">
        <v>44748</v>
      </c>
      <c r="D10" s="10" t="s">
        <v>332</v>
      </c>
      <c r="E10" s="10" t="s">
        <v>333</v>
      </c>
      <c r="F10" s="10" t="s">
        <v>334</v>
      </c>
      <c r="G10" s="11" t="s">
        <v>335</v>
      </c>
      <c r="H10" s="10" t="s">
        <v>221</v>
      </c>
      <c r="I10" s="18">
        <v>44748</v>
      </c>
      <c r="J10" s="10"/>
      <c r="K10" s="12"/>
    </row>
    <row r="11" spans="1:11" ht="24.95" customHeight="1">
      <c r="A11" s="9">
        <v>5</v>
      </c>
      <c r="B11" s="20" t="s">
        <v>336</v>
      </c>
      <c r="C11" s="18">
        <v>44748</v>
      </c>
      <c r="D11" s="10" t="s">
        <v>337</v>
      </c>
      <c r="E11" s="10" t="s">
        <v>340</v>
      </c>
      <c r="F11" s="10" t="s">
        <v>341</v>
      </c>
      <c r="G11" s="37" t="s">
        <v>342</v>
      </c>
      <c r="H11" s="10" t="s">
        <v>344</v>
      </c>
      <c r="I11" s="18">
        <v>44748</v>
      </c>
      <c r="J11" s="10"/>
      <c r="K11" s="12"/>
    </row>
    <row r="12" spans="1:11" ht="24.95" customHeight="1">
      <c r="A12" s="9">
        <v>6</v>
      </c>
      <c r="B12" s="20" t="s">
        <v>336</v>
      </c>
      <c r="C12" s="18">
        <v>44748</v>
      </c>
      <c r="D12" s="10" t="s">
        <v>337</v>
      </c>
      <c r="E12" s="10" t="s">
        <v>338</v>
      </c>
      <c r="F12" s="10" t="s">
        <v>339</v>
      </c>
      <c r="G12" s="11" t="s">
        <v>343</v>
      </c>
      <c r="H12" s="10" t="s">
        <v>345</v>
      </c>
      <c r="I12" s="18">
        <v>44748</v>
      </c>
      <c r="J12" s="10"/>
      <c r="K12" s="12"/>
    </row>
    <row r="13" spans="1:11" ht="24.95" customHeight="1">
      <c r="A13" s="9">
        <v>7</v>
      </c>
      <c r="B13" s="20" t="s">
        <v>346</v>
      </c>
      <c r="C13" s="18">
        <v>44770</v>
      </c>
      <c r="D13" s="10" t="s">
        <v>349</v>
      </c>
      <c r="E13" s="10" t="s">
        <v>350</v>
      </c>
      <c r="F13" s="10" t="s">
        <v>351</v>
      </c>
      <c r="G13" s="11" t="s">
        <v>354</v>
      </c>
      <c r="H13" s="10" t="s">
        <v>357</v>
      </c>
      <c r="I13" s="18">
        <v>44770</v>
      </c>
      <c r="J13" s="10"/>
      <c r="K13" s="12"/>
    </row>
    <row r="14" spans="1:11" ht="24.95" customHeight="1">
      <c r="A14" s="9">
        <v>8</v>
      </c>
      <c r="B14" s="20" t="s">
        <v>347</v>
      </c>
      <c r="C14" s="18">
        <v>44770</v>
      </c>
      <c r="D14" s="10" t="s">
        <v>349</v>
      </c>
      <c r="E14" s="10" t="s">
        <v>350</v>
      </c>
      <c r="F14" s="10" t="s">
        <v>352</v>
      </c>
      <c r="G14" s="11" t="s">
        <v>354</v>
      </c>
      <c r="H14" s="10" t="s">
        <v>356</v>
      </c>
      <c r="I14" s="18">
        <v>44770</v>
      </c>
      <c r="J14" s="10"/>
      <c r="K14" s="12"/>
    </row>
    <row r="15" spans="1:11" ht="24.95" customHeight="1" thickBot="1">
      <c r="A15" s="108">
        <v>9</v>
      </c>
      <c r="B15" s="109" t="s">
        <v>348</v>
      </c>
      <c r="C15" s="110">
        <v>44770</v>
      </c>
      <c r="D15" s="111" t="s">
        <v>349</v>
      </c>
      <c r="E15" s="111" t="s">
        <v>350</v>
      </c>
      <c r="F15" s="111" t="s">
        <v>353</v>
      </c>
      <c r="G15" s="112" t="s">
        <v>354</v>
      </c>
      <c r="H15" s="111" t="s">
        <v>355</v>
      </c>
      <c r="I15" s="110">
        <v>44770</v>
      </c>
      <c r="J15" s="111"/>
      <c r="K15" s="113"/>
    </row>
    <row r="16" spans="1:11" ht="17.25" thickTop="1"/>
  </sheetData>
  <mergeCells count="11">
    <mergeCell ref="J5:K5"/>
    <mergeCell ref="A3:K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&amp;L서식 경영지원 2018-100-009 REV.1&amp;C미성엠프로(주)&amp;RA4(210×297mm)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C73E-B434-4010-BF9C-BCD0188C14F1}">
  <dimension ref="A2:J20"/>
  <sheetViews>
    <sheetView showWhiteSpace="0" zoomScaleNormal="100" workbookViewId="0">
      <pane ySplit="6" topLeftCell="A7" activePane="bottomLeft" state="frozen"/>
      <selection pane="bottomLeft" activeCell="A4" sqref="A4"/>
    </sheetView>
  </sheetViews>
  <sheetFormatPr defaultRowHeight="16.5"/>
  <cols>
    <col min="1" max="2" width="5.625" customWidth="1"/>
    <col min="3" max="3" width="6.625" customWidth="1"/>
    <col min="4" max="4" width="12.625" customWidth="1"/>
    <col min="5" max="5" width="15.625" customWidth="1"/>
    <col min="6" max="6" width="8.625" customWidth="1"/>
    <col min="7" max="7" width="10.625" customWidth="1"/>
    <col min="8" max="8" width="30.625" customWidth="1"/>
    <col min="9" max="9" width="12.5" bestFit="1" customWidth="1"/>
    <col min="10" max="10" width="12.625" customWidth="1"/>
  </cols>
  <sheetData>
    <row r="2" spans="1:10">
      <c r="A2" s="1" t="s">
        <v>0</v>
      </c>
      <c r="B2" s="1"/>
      <c r="C2" s="1"/>
    </row>
    <row r="3" spans="1:10" ht="26.25">
      <c r="A3" s="127" t="s">
        <v>210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0" ht="17.25" thickBot="1">
      <c r="A4" s="22" t="s">
        <v>501</v>
      </c>
      <c r="B4" s="22"/>
      <c r="C4" s="2"/>
    </row>
    <row r="5" spans="1:10" ht="21.95" customHeight="1">
      <c r="A5" s="132" t="s">
        <v>2</v>
      </c>
      <c r="B5" s="134" t="s">
        <v>211</v>
      </c>
      <c r="C5" s="134" t="s">
        <v>33</v>
      </c>
      <c r="D5" s="134" t="s">
        <v>3</v>
      </c>
      <c r="E5" s="134" t="s">
        <v>4</v>
      </c>
      <c r="F5" s="134" t="s">
        <v>5</v>
      </c>
      <c r="G5" s="134" t="s">
        <v>6</v>
      </c>
      <c r="H5" s="134" t="s">
        <v>7</v>
      </c>
      <c r="I5" s="134" t="s">
        <v>8</v>
      </c>
      <c r="J5" s="130" t="s">
        <v>9</v>
      </c>
    </row>
    <row r="6" spans="1:10" ht="21.95" customHeight="1" thickBot="1">
      <c r="A6" s="133"/>
      <c r="B6" s="135"/>
      <c r="C6" s="135"/>
      <c r="D6" s="135"/>
      <c r="E6" s="135"/>
      <c r="F6" s="135"/>
      <c r="G6" s="135"/>
      <c r="H6" s="135"/>
      <c r="I6" s="135"/>
      <c r="J6" s="131"/>
    </row>
    <row r="7" spans="1:10" ht="24.95" customHeight="1" thickTop="1">
      <c r="A7" s="42">
        <f>ROW()-6</f>
        <v>1</v>
      </c>
      <c r="B7" s="59">
        <v>2023</v>
      </c>
      <c r="C7" s="60" t="s">
        <v>34</v>
      </c>
      <c r="D7" s="33">
        <v>44992</v>
      </c>
      <c r="E7" s="34" t="s">
        <v>178</v>
      </c>
      <c r="F7" s="34" t="s">
        <v>14</v>
      </c>
      <c r="G7" s="34" t="s">
        <v>353</v>
      </c>
      <c r="H7" s="37" t="s">
        <v>363</v>
      </c>
      <c r="I7" s="34" t="s">
        <v>24</v>
      </c>
      <c r="J7" s="61">
        <v>44993</v>
      </c>
    </row>
    <row r="8" spans="1:10" ht="24.95" customHeight="1">
      <c r="A8" s="39">
        <f t="shared" ref="A8:A20" si="0">ROW()-6</f>
        <v>2</v>
      </c>
      <c r="B8" s="38">
        <v>2023</v>
      </c>
      <c r="C8" s="51"/>
      <c r="D8" s="52"/>
      <c r="E8" s="44" t="s">
        <v>178</v>
      </c>
      <c r="F8" s="44" t="s">
        <v>358</v>
      </c>
      <c r="G8" s="44" t="s">
        <v>362</v>
      </c>
      <c r="H8" s="53" t="s">
        <v>359</v>
      </c>
      <c r="I8" s="44" t="s">
        <v>25</v>
      </c>
      <c r="J8" s="62">
        <v>44993</v>
      </c>
    </row>
    <row r="9" spans="1:10" ht="24.95" customHeight="1">
      <c r="A9" s="39">
        <f t="shared" si="0"/>
        <v>3</v>
      </c>
      <c r="B9" s="38">
        <v>2023</v>
      </c>
      <c r="C9" s="51" t="s">
        <v>35</v>
      </c>
      <c r="D9" s="52">
        <v>45006</v>
      </c>
      <c r="E9" s="34" t="s">
        <v>364</v>
      </c>
      <c r="F9" s="34" t="s">
        <v>89</v>
      </c>
      <c r="G9" s="34" t="s">
        <v>365</v>
      </c>
      <c r="H9" s="37" t="s">
        <v>237</v>
      </c>
      <c r="I9" s="34" t="s">
        <v>221</v>
      </c>
      <c r="J9" s="62">
        <v>45006</v>
      </c>
    </row>
    <row r="10" spans="1:10" s="96" customFormat="1" ht="24.95" customHeight="1">
      <c r="A10" s="74">
        <f t="shared" si="0"/>
        <v>4</v>
      </c>
      <c r="B10" s="75">
        <v>2023</v>
      </c>
      <c r="C10" s="76" t="s">
        <v>34</v>
      </c>
      <c r="D10" s="77">
        <v>45022</v>
      </c>
      <c r="E10" s="78" t="s">
        <v>366</v>
      </c>
      <c r="F10" s="78" t="s">
        <v>367</v>
      </c>
      <c r="G10" s="78" t="s">
        <v>368</v>
      </c>
      <c r="H10" s="79" t="s">
        <v>369</v>
      </c>
      <c r="I10" s="78" t="s">
        <v>41</v>
      </c>
      <c r="J10" s="80">
        <v>45022</v>
      </c>
    </row>
    <row r="11" spans="1:10" ht="24.95" customHeight="1">
      <c r="A11" s="39">
        <f t="shared" si="0"/>
        <v>5</v>
      </c>
      <c r="B11" s="38">
        <v>2023</v>
      </c>
      <c r="C11" s="51"/>
      <c r="D11" s="52"/>
      <c r="E11" s="44" t="s">
        <v>373</v>
      </c>
      <c r="F11" s="44" t="s">
        <v>358</v>
      </c>
      <c r="G11" s="44" t="s">
        <v>370</v>
      </c>
      <c r="H11" s="53" t="s">
        <v>359</v>
      </c>
      <c r="I11" s="44" t="s">
        <v>25</v>
      </c>
      <c r="J11" s="54"/>
    </row>
    <row r="12" spans="1:10" ht="24.95" customHeight="1">
      <c r="A12" s="39">
        <f t="shared" si="0"/>
        <v>6</v>
      </c>
      <c r="B12" s="38">
        <v>2023</v>
      </c>
      <c r="C12" s="51"/>
      <c r="D12" s="52"/>
      <c r="E12" s="44" t="s">
        <v>366</v>
      </c>
      <c r="F12" s="44" t="s">
        <v>14</v>
      </c>
      <c r="G12" s="44" t="s">
        <v>371</v>
      </c>
      <c r="H12" s="53" t="s">
        <v>369</v>
      </c>
      <c r="I12" s="44" t="s">
        <v>25</v>
      </c>
      <c r="J12" s="54"/>
    </row>
    <row r="13" spans="1:10" ht="24.95" customHeight="1">
      <c r="A13" s="39">
        <f t="shared" si="0"/>
        <v>7</v>
      </c>
      <c r="B13" s="38">
        <v>2023</v>
      </c>
      <c r="C13" s="51" t="s">
        <v>372</v>
      </c>
      <c r="D13" s="52">
        <v>45049</v>
      </c>
      <c r="E13" s="44" t="s">
        <v>366</v>
      </c>
      <c r="F13" s="44" t="s">
        <v>367</v>
      </c>
      <c r="G13" s="44" t="s">
        <v>368</v>
      </c>
      <c r="H13" s="53" t="s">
        <v>369</v>
      </c>
      <c r="I13" s="44" t="s">
        <v>374</v>
      </c>
      <c r="J13" s="62">
        <v>45056</v>
      </c>
    </row>
    <row r="14" spans="1:10" ht="24.95" customHeight="1">
      <c r="A14" s="39">
        <f t="shared" si="0"/>
        <v>8</v>
      </c>
      <c r="B14" s="38">
        <v>2023</v>
      </c>
      <c r="C14" s="51" t="s">
        <v>34</v>
      </c>
      <c r="D14" s="52">
        <v>45077</v>
      </c>
      <c r="E14" s="44" t="s">
        <v>375</v>
      </c>
      <c r="F14" s="44" t="s">
        <v>28</v>
      </c>
      <c r="G14" s="44" t="s">
        <v>376</v>
      </c>
      <c r="H14" s="53" t="s">
        <v>359</v>
      </c>
      <c r="I14" s="44" t="s">
        <v>377</v>
      </c>
      <c r="J14" s="62">
        <v>45082</v>
      </c>
    </row>
    <row r="15" spans="1:10" ht="24.95" customHeight="1">
      <c r="A15" s="39">
        <f t="shared" si="0"/>
        <v>9</v>
      </c>
      <c r="B15" s="38">
        <v>2023</v>
      </c>
      <c r="C15" s="51" t="s">
        <v>35</v>
      </c>
      <c r="D15" s="52">
        <v>45112</v>
      </c>
      <c r="E15" s="44" t="s">
        <v>178</v>
      </c>
      <c r="F15" s="44" t="s">
        <v>358</v>
      </c>
      <c r="G15" s="44" t="s">
        <v>362</v>
      </c>
      <c r="H15" s="53" t="s">
        <v>378</v>
      </c>
      <c r="I15" s="44" t="s">
        <v>379</v>
      </c>
      <c r="J15" s="62">
        <v>45112</v>
      </c>
    </row>
    <row r="16" spans="1:10" ht="24.95" customHeight="1">
      <c r="A16" s="39">
        <f t="shared" si="0"/>
        <v>10</v>
      </c>
      <c r="B16" s="38">
        <v>2023</v>
      </c>
      <c r="C16" s="51" t="s">
        <v>35</v>
      </c>
      <c r="D16" s="52">
        <v>45182</v>
      </c>
      <c r="E16" s="44" t="s">
        <v>332</v>
      </c>
      <c r="F16" s="44" t="s">
        <v>47</v>
      </c>
      <c r="G16" s="44" t="s">
        <v>387</v>
      </c>
      <c r="H16" s="53" t="s">
        <v>369</v>
      </c>
      <c r="I16" s="44" t="s">
        <v>361</v>
      </c>
      <c r="J16" s="62">
        <v>45182</v>
      </c>
    </row>
    <row r="17" spans="1:10" ht="24.95" customHeight="1">
      <c r="A17" s="39">
        <f t="shared" si="0"/>
        <v>11</v>
      </c>
      <c r="B17" s="38">
        <v>2023</v>
      </c>
      <c r="C17" s="51" t="s">
        <v>35</v>
      </c>
      <c r="D17" s="52">
        <v>45182</v>
      </c>
      <c r="E17" s="44" t="s">
        <v>332</v>
      </c>
      <c r="F17" s="44" t="s">
        <v>154</v>
      </c>
      <c r="G17" s="44" t="s">
        <v>388</v>
      </c>
      <c r="H17" s="53" t="s">
        <v>369</v>
      </c>
      <c r="I17" s="44" t="s">
        <v>361</v>
      </c>
      <c r="J17" s="62">
        <v>45182</v>
      </c>
    </row>
    <row r="18" spans="1:10" ht="24.95" customHeight="1">
      <c r="A18" s="39">
        <f t="shared" si="0"/>
        <v>12</v>
      </c>
      <c r="B18" s="38">
        <v>2023</v>
      </c>
      <c r="C18" s="51" t="s">
        <v>35</v>
      </c>
      <c r="D18" s="52">
        <v>45182</v>
      </c>
      <c r="E18" s="44" t="s">
        <v>332</v>
      </c>
      <c r="F18" s="44" t="s">
        <v>28</v>
      </c>
      <c r="G18" s="44" t="s">
        <v>386</v>
      </c>
      <c r="H18" s="53" t="s">
        <v>359</v>
      </c>
      <c r="I18" s="44" t="s">
        <v>25</v>
      </c>
      <c r="J18" s="62">
        <v>45182</v>
      </c>
    </row>
    <row r="19" spans="1:10" ht="24.95" customHeight="1">
      <c r="A19" s="39">
        <f t="shared" si="0"/>
        <v>13</v>
      </c>
      <c r="B19" s="38">
        <v>2023</v>
      </c>
      <c r="C19" s="51" t="s">
        <v>394</v>
      </c>
      <c r="D19" s="52">
        <v>45183</v>
      </c>
      <c r="E19" s="44" t="s">
        <v>389</v>
      </c>
      <c r="F19" s="44" t="s">
        <v>154</v>
      </c>
      <c r="G19" s="44" t="s">
        <v>390</v>
      </c>
      <c r="H19" s="53" t="s">
        <v>392</v>
      </c>
      <c r="I19" s="44" t="s">
        <v>377</v>
      </c>
      <c r="J19" s="62">
        <v>45183</v>
      </c>
    </row>
    <row r="20" spans="1:10" ht="24.95" customHeight="1" thickBot="1">
      <c r="A20" s="40">
        <f t="shared" si="0"/>
        <v>14</v>
      </c>
      <c r="B20" s="41">
        <v>2023</v>
      </c>
      <c r="C20" s="55" t="s">
        <v>394</v>
      </c>
      <c r="D20" s="56">
        <v>45183</v>
      </c>
      <c r="E20" s="57" t="s">
        <v>389</v>
      </c>
      <c r="F20" s="57" t="s">
        <v>14</v>
      </c>
      <c r="G20" s="57" t="s">
        <v>391</v>
      </c>
      <c r="H20" s="58" t="s">
        <v>392</v>
      </c>
      <c r="I20" s="57" t="s">
        <v>384</v>
      </c>
      <c r="J20" s="63">
        <v>45183</v>
      </c>
    </row>
  </sheetData>
  <mergeCells count="11">
    <mergeCell ref="J5:J6"/>
    <mergeCell ref="A3:J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300" r:id="rId1"/>
  <headerFooter>
    <oddFooter>&amp;L서식 경영지원 2018-100-009 REV.1&amp;C미성엠프로(주)&amp;RA4(210×297mm)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9A89-A226-4252-9463-FC92CB461B84}">
  <dimension ref="A2:J31"/>
  <sheetViews>
    <sheetView showWhiteSpace="0" zoomScaleNormal="100" workbookViewId="0">
      <pane ySplit="6" topLeftCell="A22" activePane="bottomLeft" state="frozen"/>
      <selection pane="bottomLeft" activeCell="A4" sqref="A4"/>
    </sheetView>
  </sheetViews>
  <sheetFormatPr defaultRowHeight="16.5"/>
  <cols>
    <col min="1" max="2" width="5.625" customWidth="1"/>
    <col min="3" max="3" width="6.625" customWidth="1"/>
    <col min="4" max="4" width="12.625" customWidth="1"/>
    <col min="5" max="5" width="15.625" customWidth="1"/>
    <col min="6" max="6" width="8.625" customWidth="1"/>
    <col min="7" max="7" width="10.625" customWidth="1"/>
    <col min="8" max="8" width="30.625" customWidth="1"/>
    <col min="9" max="9" width="12.5" bestFit="1" customWidth="1"/>
    <col min="10" max="10" width="12.625" customWidth="1"/>
  </cols>
  <sheetData>
    <row r="2" spans="1:10">
      <c r="A2" s="1" t="s">
        <v>0</v>
      </c>
      <c r="B2" s="1"/>
      <c r="C2" s="1"/>
    </row>
    <row r="3" spans="1:10" ht="26.25">
      <c r="A3" s="127" t="s">
        <v>210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0" ht="17.25" thickBot="1">
      <c r="A4" s="22" t="s">
        <v>502</v>
      </c>
      <c r="B4" s="22"/>
      <c r="C4" s="2"/>
    </row>
    <row r="5" spans="1:10" ht="21.95" customHeight="1">
      <c r="A5" s="132" t="s">
        <v>2</v>
      </c>
      <c r="B5" s="134" t="s">
        <v>211</v>
      </c>
      <c r="C5" s="134" t="s">
        <v>33</v>
      </c>
      <c r="D5" s="134" t="s">
        <v>3</v>
      </c>
      <c r="E5" s="134" t="s">
        <v>4</v>
      </c>
      <c r="F5" s="134" t="s">
        <v>5</v>
      </c>
      <c r="G5" s="134" t="s">
        <v>6</v>
      </c>
      <c r="H5" s="134" t="s">
        <v>7</v>
      </c>
      <c r="I5" s="134" t="s">
        <v>8</v>
      </c>
      <c r="J5" s="130" t="s">
        <v>9</v>
      </c>
    </row>
    <row r="6" spans="1:10" ht="21.95" customHeight="1" thickBot="1">
      <c r="A6" s="133"/>
      <c r="B6" s="135"/>
      <c r="C6" s="135"/>
      <c r="D6" s="135"/>
      <c r="E6" s="135"/>
      <c r="F6" s="135"/>
      <c r="G6" s="135"/>
      <c r="H6" s="135"/>
      <c r="I6" s="135"/>
      <c r="J6" s="131"/>
    </row>
    <row r="7" spans="1:10" ht="24.95" customHeight="1" thickTop="1">
      <c r="A7" s="45">
        <f>ROW()-6</f>
        <v>1</v>
      </c>
      <c r="B7" s="46">
        <v>2024</v>
      </c>
      <c r="C7" s="67" t="s">
        <v>394</v>
      </c>
      <c r="D7" s="47">
        <v>45377</v>
      </c>
      <c r="E7" s="48" t="s">
        <v>109</v>
      </c>
      <c r="F7" s="48" t="s">
        <v>358</v>
      </c>
      <c r="G7" s="48" t="s">
        <v>193</v>
      </c>
      <c r="H7" s="49" t="s">
        <v>393</v>
      </c>
      <c r="I7" s="48" t="s">
        <v>221</v>
      </c>
      <c r="J7" s="50">
        <v>45377</v>
      </c>
    </row>
    <row r="8" spans="1:10" ht="24.95" customHeight="1">
      <c r="A8" s="39">
        <f t="shared" ref="A8:A31" si="0">ROW()-6</f>
        <v>2</v>
      </c>
      <c r="B8" s="38">
        <v>2024</v>
      </c>
      <c r="C8" s="38" t="s">
        <v>394</v>
      </c>
      <c r="D8" s="52">
        <v>45377</v>
      </c>
      <c r="E8" s="44" t="s">
        <v>109</v>
      </c>
      <c r="F8" s="44" t="s">
        <v>126</v>
      </c>
      <c r="G8" s="44" t="s">
        <v>127</v>
      </c>
      <c r="H8" s="53" t="s">
        <v>393</v>
      </c>
      <c r="I8" s="44" t="s">
        <v>377</v>
      </c>
      <c r="J8" s="62">
        <v>45377</v>
      </c>
    </row>
    <row r="9" spans="1:10" ht="24.95" customHeight="1">
      <c r="A9" s="39">
        <f t="shared" si="0"/>
        <v>3</v>
      </c>
      <c r="B9" s="38">
        <v>2024</v>
      </c>
      <c r="C9" s="38" t="s">
        <v>394</v>
      </c>
      <c r="D9" s="52">
        <v>45420</v>
      </c>
      <c r="E9" s="44" t="s">
        <v>214</v>
      </c>
      <c r="F9" s="44" t="s">
        <v>179</v>
      </c>
      <c r="G9" s="44" t="s">
        <v>395</v>
      </c>
      <c r="H9" s="53" t="s">
        <v>396</v>
      </c>
      <c r="I9" s="44" t="s">
        <v>41</v>
      </c>
      <c r="J9" s="62">
        <v>45420</v>
      </c>
    </row>
    <row r="10" spans="1:10" ht="24.95" customHeight="1">
      <c r="A10" s="39">
        <f t="shared" si="0"/>
        <v>4</v>
      </c>
      <c r="B10" s="38">
        <v>2024</v>
      </c>
      <c r="C10" s="38" t="s">
        <v>394</v>
      </c>
      <c r="D10" s="52">
        <v>45420</v>
      </c>
      <c r="E10" s="44" t="s">
        <v>214</v>
      </c>
      <c r="F10" s="44" t="s">
        <v>89</v>
      </c>
      <c r="G10" s="44" t="s">
        <v>397</v>
      </c>
      <c r="H10" s="53" t="s">
        <v>396</v>
      </c>
      <c r="I10" s="44" t="s">
        <v>41</v>
      </c>
      <c r="J10" s="62">
        <v>45420</v>
      </c>
    </row>
    <row r="11" spans="1:10" ht="24.95" customHeight="1">
      <c r="A11" s="39">
        <f t="shared" si="0"/>
        <v>5</v>
      </c>
      <c r="B11" s="38">
        <v>2024</v>
      </c>
      <c r="C11" s="38" t="s">
        <v>394</v>
      </c>
      <c r="D11" s="52">
        <v>45420</v>
      </c>
      <c r="E11" s="44" t="s">
        <v>214</v>
      </c>
      <c r="F11" s="44" t="s">
        <v>154</v>
      </c>
      <c r="G11" s="44" t="s">
        <v>398</v>
      </c>
      <c r="H11" s="53" t="s">
        <v>396</v>
      </c>
      <c r="I11" s="44" t="s">
        <v>41</v>
      </c>
      <c r="J11" s="62">
        <v>45420</v>
      </c>
    </row>
    <row r="12" spans="1:10" ht="24.95" customHeight="1">
      <c r="A12" s="39">
        <f t="shared" si="0"/>
        <v>6</v>
      </c>
      <c r="B12" s="38">
        <v>2024</v>
      </c>
      <c r="C12" s="38" t="s">
        <v>394</v>
      </c>
      <c r="D12" s="52">
        <v>45420</v>
      </c>
      <c r="E12" s="44" t="s">
        <v>214</v>
      </c>
      <c r="F12" s="44" t="s">
        <v>14</v>
      </c>
      <c r="G12" s="44" t="s">
        <v>399</v>
      </c>
      <c r="H12" s="53" t="s">
        <v>396</v>
      </c>
      <c r="I12" s="44" t="s">
        <v>221</v>
      </c>
      <c r="J12" s="62">
        <v>45420</v>
      </c>
    </row>
    <row r="13" spans="1:10" ht="24.95" customHeight="1">
      <c r="A13" s="39">
        <f t="shared" si="0"/>
        <v>7</v>
      </c>
      <c r="B13" s="38">
        <v>2024</v>
      </c>
      <c r="C13" s="38" t="s">
        <v>394</v>
      </c>
      <c r="D13" s="52">
        <v>45420</v>
      </c>
      <c r="E13" s="44" t="s">
        <v>214</v>
      </c>
      <c r="F13" s="44" t="s">
        <v>14</v>
      </c>
      <c r="G13" s="44" t="s">
        <v>400</v>
      </c>
      <c r="H13" s="53" t="s">
        <v>396</v>
      </c>
      <c r="I13" s="44" t="s">
        <v>262</v>
      </c>
      <c r="J13" s="62">
        <v>45420</v>
      </c>
    </row>
    <row r="14" spans="1:10" ht="24.95" customHeight="1">
      <c r="A14" s="39">
        <f t="shared" si="0"/>
        <v>8</v>
      </c>
      <c r="B14" s="38">
        <v>2024</v>
      </c>
      <c r="C14" s="38" t="s">
        <v>394</v>
      </c>
      <c r="D14" s="52">
        <v>45420</v>
      </c>
      <c r="E14" s="44" t="s">
        <v>214</v>
      </c>
      <c r="F14" s="44" t="s">
        <v>14</v>
      </c>
      <c r="G14" s="44" t="s">
        <v>401</v>
      </c>
      <c r="H14" s="53" t="s">
        <v>396</v>
      </c>
      <c r="I14" s="44" t="s">
        <v>262</v>
      </c>
      <c r="J14" s="62">
        <v>45420</v>
      </c>
    </row>
    <row r="15" spans="1:10" ht="24.95" customHeight="1">
      <c r="A15" s="39">
        <f t="shared" si="0"/>
        <v>9</v>
      </c>
      <c r="B15" s="38">
        <v>2024</v>
      </c>
      <c r="C15" s="51"/>
      <c r="D15" s="52"/>
      <c r="E15" s="44" t="s">
        <v>402</v>
      </c>
      <c r="F15" s="44" t="s">
        <v>307</v>
      </c>
      <c r="G15" s="44" t="s">
        <v>403</v>
      </c>
      <c r="H15" s="53" t="s">
        <v>405</v>
      </c>
      <c r="I15" s="44" t="s">
        <v>404</v>
      </c>
      <c r="J15" s="62">
        <v>45532</v>
      </c>
    </row>
    <row r="16" spans="1:10" ht="24.95" customHeight="1">
      <c r="A16" s="39">
        <f t="shared" si="0"/>
        <v>10</v>
      </c>
      <c r="B16" s="38">
        <v>2024</v>
      </c>
      <c r="C16" s="38" t="s">
        <v>394</v>
      </c>
      <c r="D16" s="52">
        <v>45539</v>
      </c>
      <c r="E16" s="44" t="s">
        <v>406</v>
      </c>
      <c r="F16" s="44" t="s">
        <v>14</v>
      </c>
      <c r="G16" s="44" t="s">
        <v>407</v>
      </c>
      <c r="H16" s="53" t="s">
        <v>392</v>
      </c>
      <c r="I16" s="44" t="s">
        <v>221</v>
      </c>
      <c r="J16" s="62">
        <v>45555</v>
      </c>
    </row>
    <row r="17" spans="1:10" ht="24.95" customHeight="1">
      <c r="A17" s="39">
        <f t="shared" si="0"/>
        <v>11</v>
      </c>
      <c r="B17" s="38">
        <v>2024</v>
      </c>
      <c r="C17" s="38" t="s">
        <v>394</v>
      </c>
      <c r="D17" s="52">
        <v>45539</v>
      </c>
      <c r="E17" s="44" t="s">
        <v>406</v>
      </c>
      <c r="F17" s="44" t="s">
        <v>327</v>
      </c>
      <c r="G17" s="44" t="s">
        <v>408</v>
      </c>
      <c r="H17" s="53" t="s">
        <v>392</v>
      </c>
      <c r="I17" s="44" t="s">
        <v>221</v>
      </c>
      <c r="J17" s="62">
        <v>45555</v>
      </c>
    </row>
    <row r="18" spans="1:10" ht="24.95" customHeight="1">
      <c r="A18" s="39">
        <f t="shared" si="0"/>
        <v>12</v>
      </c>
      <c r="B18" s="38">
        <v>2024</v>
      </c>
      <c r="C18" s="38" t="s">
        <v>394</v>
      </c>
      <c r="D18" s="52">
        <v>45539</v>
      </c>
      <c r="E18" s="44" t="s">
        <v>406</v>
      </c>
      <c r="F18" s="44" t="s">
        <v>28</v>
      </c>
      <c r="G18" s="44" t="s">
        <v>119</v>
      </c>
      <c r="H18" s="53" t="s">
        <v>392</v>
      </c>
      <c r="I18" s="44" t="s">
        <v>385</v>
      </c>
      <c r="J18" s="62">
        <v>45555</v>
      </c>
    </row>
    <row r="19" spans="1:10" ht="24.95" customHeight="1">
      <c r="A19" s="39">
        <f t="shared" si="0"/>
        <v>13</v>
      </c>
      <c r="B19" s="38">
        <v>2024</v>
      </c>
      <c r="C19" s="51"/>
      <c r="D19" s="52">
        <v>45586</v>
      </c>
      <c r="E19" s="44" t="s">
        <v>109</v>
      </c>
      <c r="F19" s="44" t="s">
        <v>358</v>
      </c>
      <c r="G19" s="44" t="s">
        <v>193</v>
      </c>
      <c r="H19" s="53" t="s">
        <v>85</v>
      </c>
      <c r="I19" s="44" t="s">
        <v>385</v>
      </c>
      <c r="J19" s="62">
        <v>45586</v>
      </c>
    </row>
    <row r="20" spans="1:10" ht="24.95" customHeight="1">
      <c r="A20" s="39">
        <f t="shared" si="0"/>
        <v>14</v>
      </c>
      <c r="B20" s="38">
        <v>2024</v>
      </c>
      <c r="C20" s="51"/>
      <c r="D20" s="52">
        <v>45586</v>
      </c>
      <c r="E20" s="44" t="s">
        <v>109</v>
      </c>
      <c r="F20" s="44" t="s">
        <v>50</v>
      </c>
      <c r="G20" s="44" t="s">
        <v>150</v>
      </c>
      <c r="H20" s="53" t="s">
        <v>412</v>
      </c>
      <c r="I20" s="44" t="s">
        <v>221</v>
      </c>
      <c r="J20" s="62">
        <v>45586</v>
      </c>
    </row>
    <row r="21" spans="1:10" ht="24.95" customHeight="1">
      <c r="A21" s="39">
        <f t="shared" si="0"/>
        <v>15</v>
      </c>
      <c r="B21" s="38">
        <v>2024</v>
      </c>
      <c r="C21" s="51"/>
      <c r="D21" s="52">
        <v>45586</v>
      </c>
      <c r="E21" s="44" t="s">
        <v>410</v>
      </c>
      <c r="F21" s="44" t="s">
        <v>154</v>
      </c>
      <c r="G21" s="44" t="s">
        <v>411</v>
      </c>
      <c r="H21" s="53" t="s">
        <v>412</v>
      </c>
      <c r="I21" s="44" t="s">
        <v>221</v>
      </c>
      <c r="J21" s="62">
        <v>45586</v>
      </c>
    </row>
    <row r="22" spans="1:10" ht="24.95" customHeight="1">
      <c r="A22" s="39">
        <f t="shared" si="0"/>
        <v>16</v>
      </c>
      <c r="B22" s="38">
        <v>2024</v>
      </c>
      <c r="C22" s="51"/>
      <c r="D22" s="52">
        <v>45586</v>
      </c>
      <c r="E22" s="44" t="s">
        <v>109</v>
      </c>
      <c r="F22" s="44" t="s">
        <v>358</v>
      </c>
      <c r="G22" s="44" t="s">
        <v>193</v>
      </c>
      <c r="H22" s="53" t="s">
        <v>85</v>
      </c>
      <c r="I22" s="44" t="s">
        <v>385</v>
      </c>
      <c r="J22" s="62">
        <v>45586</v>
      </c>
    </row>
    <row r="23" spans="1:10" ht="24.95" customHeight="1">
      <c r="A23" s="39">
        <f t="shared" si="0"/>
        <v>17</v>
      </c>
      <c r="B23" s="38">
        <v>2024</v>
      </c>
      <c r="C23" s="51"/>
      <c r="D23" s="52">
        <v>45586</v>
      </c>
      <c r="E23" s="44" t="s">
        <v>413</v>
      </c>
      <c r="F23" s="44" t="s">
        <v>28</v>
      </c>
      <c r="G23" s="44" t="s">
        <v>90</v>
      </c>
      <c r="H23" s="53" t="s">
        <v>414</v>
      </c>
      <c r="I23" s="44" t="s">
        <v>221</v>
      </c>
      <c r="J23" s="62">
        <v>45586</v>
      </c>
    </row>
    <row r="24" spans="1:10" ht="24.95" customHeight="1">
      <c r="A24" s="39">
        <f t="shared" si="0"/>
        <v>18</v>
      </c>
      <c r="B24" s="38">
        <v>2024</v>
      </c>
      <c r="C24" s="51"/>
      <c r="D24" s="52">
        <v>45586</v>
      </c>
      <c r="E24" s="44" t="s">
        <v>413</v>
      </c>
      <c r="F24" s="44" t="s">
        <v>14</v>
      </c>
      <c r="G24" s="44" t="s">
        <v>415</v>
      </c>
      <c r="H24" s="53" t="s">
        <v>414</v>
      </c>
      <c r="I24" s="44" t="s">
        <v>221</v>
      </c>
      <c r="J24" s="62">
        <v>45586</v>
      </c>
    </row>
    <row r="25" spans="1:10" ht="24.95" customHeight="1">
      <c r="A25" s="39">
        <f t="shared" si="0"/>
        <v>19</v>
      </c>
      <c r="B25" s="38">
        <v>2024</v>
      </c>
      <c r="C25" s="51"/>
      <c r="D25" s="52">
        <v>45593</v>
      </c>
      <c r="E25" s="44" t="s">
        <v>416</v>
      </c>
      <c r="F25" s="44" t="s">
        <v>28</v>
      </c>
      <c r="G25" s="44" t="s">
        <v>417</v>
      </c>
      <c r="H25" s="53" t="s">
        <v>85</v>
      </c>
      <c r="I25" s="44" t="s">
        <v>221</v>
      </c>
      <c r="J25" s="62">
        <v>45593</v>
      </c>
    </row>
    <row r="26" spans="1:10" ht="24.95" customHeight="1">
      <c r="A26" s="39">
        <f t="shared" si="0"/>
        <v>20</v>
      </c>
      <c r="B26" s="38">
        <v>2024</v>
      </c>
      <c r="C26" s="51"/>
      <c r="D26" s="52">
        <v>45593</v>
      </c>
      <c r="E26" s="44" t="s">
        <v>416</v>
      </c>
      <c r="F26" s="44" t="s">
        <v>418</v>
      </c>
      <c r="G26" s="44" t="s">
        <v>419</v>
      </c>
      <c r="H26" s="53" t="s">
        <v>420</v>
      </c>
      <c r="I26" s="44" t="s">
        <v>377</v>
      </c>
      <c r="J26" s="62">
        <v>45593</v>
      </c>
    </row>
    <row r="27" spans="1:10" ht="24.95" customHeight="1">
      <c r="A27" s="39">
        <f t="shared" si="0"/>
        <v>21</v>
      </c>
      <c r="B27" s="38">
        <v>2024</v>
      </c>
      <c r="C27" s="51"/>
      <c r="D27" s="52">
        <v>45596</v>
      </c>
      <c r="E27" s="44" t="s">
        <v>421</v>
      </c>
      <c r="F27" s="44" t="s">
        <v>43</v>
      </c>
      <c r="G27" s="44" t="s">
        <v>422</v>
      </c>
      <c r="H27" s="53" t="s">
        <v>85</v>
      </c>
      <c r="I27" s="44" t="s">
        <v>221</v>
      </c>
      <c r="J27" s="62">
        <v>45596</v>
      </c>
    </row>
    <row r="28" spans="1:10" ht="24.95" customHeight="1">
      <c r="A28" s="39">
        <f t="shared" si="0"/>
        <v>22</v>
      </c>
      <c r="B28" s="38">
        <v>2024</v>
      </c>
      <c r="C28" s="51"/>
      <c r="D28" s="52">
        <v>45596</v>
      </c>
      <c r="E28" s="44" t="s">
        <v>421</v>
      </c>
      <c r="F28" s="44" t="s">
        <v>47</v>
      </c>
      <c r="G28" s="44" t="s">
        <v>423</v>
      </c>
      <c r="H28" s="53" t="s">
        <v>424</v>
      </c>
      <c r="I28" s="44" t="s">
        <v>377</v>
      </c>
      <c r="J28" s="62">
        <v>45596</v>
      </c>
    </row>
    <row r="29" spans="1:10" ht="24.95" customHeight="1">
      <c r="A29" s="39">
        <f t="shared" si="0"/>
        <v>23</v>
      </c>
      <c r="B29" s="38">
        <v>2024</v>
      </c>
      <c r="C29" s="51"/>
      <c r="D29" s="52">
        <v>45625</v>
      </c>
      <c r="E29" s="44" t="s">
        <v>402</v>
      </c>
      <c r="F29" s="44" t="s">
        <v>47</v>
      </c>
      <c r="G29" s="44" t="s">
        <v>425</v>
      </c>
      <c r="H29" s="53" t="s">
        <v>426</v>
      </c>
      <c r="I29" s="44" t="s">
        <v>262</v>
      </c>
      <c r="J29" s="62">
        <v>45625</v>
      </c>
    </row>
    <row r="30" spans="1:10" ht="24.95" customHeight="1">
      <c r="A30" s="39">
        <f t="shared" si="0"/>
        <v>24</v>
      </c>
      <c r="B30" s="38">
        <v>2024</v>
      </c>
      <c r="C30" s="51"/>
      <c r="D30" s="52">
        <v>45638</v>
      </c>
      <c r="E30" s="44" t="s">
        <v>427</v>
      </c>
      <c r="F30" s="44" t="s">
        <v>14</v>
      </c>
      <c r="G30" s="44" t="s">
        <v>428</v>
      </c>
      <c r="H30" s="53" t="s">
        <v>369</v>
      </c>
      <c r="I30" s="44" t="s">
        <v>221</v>
      </c>
      <c r="J30" s="62">
        <v>45638</v>
      </c>
    </row>
    <row r="31" spans="1:10" ht="24.95" customHeight="1" thickBot="1">
      <c r="A31" s="40">
        <f t="shared" si="0"/>
        <v>25</v>
      </c>
      <c r="B31" s="41">
        <v>2024</v>
      </c>
      <c r="C31" s="55"/>
      <c r="D31" s="56">
        <v>45638</v>
      </c>
      <c r="E31" s="57" t="s">
        <v>427</v>
      </c>
      <c r="F31" s="57" t="s">
        <v>14</v>
      </c>
      <c r="G31" s="57" t="s">
        <v>429</v>
      </c>
      <c r="H31" s="58" t="s">
        <v>369</v>
      </c>
      <c r="I31" s="57" t="s">
        <v>385</v>
      </c>
      <c r="J31" s="63">
        <v>45638</v>
      </c>
    </row>
  </sheetData>
  <mergeCells count="11">
    <mergeCell ref="J5:J6"/>
    <mergeCell ref="A3:J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300" r:id="rId1"/>
  <headerFooter>
    <oddFooter>&amp;L서식 경영지원 2018-100-009 REV.1&amp;C미성엠프로(주)&amp;RA4(210×297mm)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296A-BF2F-408D-8618-76F8BAA89476}">
  <dimension ref="A2:J27"/>
  <sheetViews>
    <sheetView showWhiteSpace="0" zoomScaleNormal="100" workbookViewId="0">
      <pane ySplit="6" topLeftCell="A16" activePane="bottomLeft" state="frozen"/>
      <selection pane="bottomLeft" activeCell="I17" sqref="I17"/>
    </sheetView>
  </sheetViews>
  <sheetFormatPr defaultRowHeight="16.5"/>
  <cols>
    <col min="1" max="2" width="5.625" customWidth="1"/>
    <col min="3" max="3" width="6.625" customWidth="1"/>
    <col min="4" max="4" width="12.625" customWidth="1"/>
    <col min="5" max="5" width="15.625" customWidth="1"/>
    <col min="6" max="6" width="8.625" customWidth="1"/>
    <col min="7" max="7" width="10.625" customWidth="1"/>
    <col min="8" max="8" width="30.625" customWidth="1"/>
    <col min="9" max="9" width="12.5" bestFit="1" customWidth="1"/>
    <col min="10" max="10" width="12.625" customWidth="1"/>
  </cols>
  <sheetData>
    <row r="2" spans="1:10">
      <c r="A2" s="1" t="s">
        <v>0</v>
      </c>
      <c r="B2" s="1"/>
      <c r="C2" s="1"/>
    </row>
    <row r="3" spans="1:10" ht="26.25">
      <c r="A3" s="127" t="s">
        <v>210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10" ht="17.25" thickBot="1">
      <c r="A4" s="22" t="s">
        <v>503</v>
      </c>
      <c r="B4" s="22"/>
      <c r="C4" s="2"/>
    </row>
    <row r="5" spans="1:10" ht="21.95" customHeight="1">
      <c r="A5" s="132" t="s">
        <v>2</v>
      </c>
      <c r="B5" s="134" t="s">
        <v>211</v>
      </c>
      <c r="C5" s="134" t="s">
        <v>33</v>
      </c>
      <c r="D5" s="134" t="s">
        <v>3</v>
      </c>
      <c r="E5" s="134" t="s">
        <v>4</v>
      </c>
      <c r="F5" s="134" t="s">
        <v>5</v>
      </c>
      <c r="G5" s="134" t="s">
        <v>6</v>
      </c>
      <c r="H5" s="134" t="s">
        <v>7</v>
      </c>
      <c r="I5" s="134" t="s">
        <v>8</v>
      </c>
      <c r="J5" s="130" t="s">
        <v>9</v>
      </c>
    </row>
    <row r="6" spans="1:10" ht="21.95" customHeight="1" thickBot="1">
      <c r="A6" s="133"/>
      <c r="B6" s="135"/>
      <c r="C6" s="135"/>
      <c r="D6" s="135"/>
      <c r="E6" s="135"/>
      <c r="F6" s="135"/>
      <c r="G6" s="135"/>
      <c r="H6" s="135"/>
      <c r="I6" s="135"/>
      <c r="J6" s="131"/>
    </row>
    <row r="7" spans="1:10" ht="24.95" customHeight="1" thickTop="1">
      <c r="A7" s="45">
        <f>ROW()-6</f>
        <v>1</v>
      </c>
      <c r="B7" s="46">
        <v>2025</v>
      </c>
      <c r="C7" s="67"/>
      <c r="D7" s="47">
        <v>45698</v>
      </c>
      <c r="E7" s="48" t="s">
        <v>449</v>
      </c>
      <c r="F7" s="48" t="s">
        <v>126</v>
      </c>
      <c r="G7" s="48" t="s">
        <v>431</v>
      </c>
      <c r="H7" s="49" t="s">
        <v>412</v>
      </c>
      <c r="I7" s="48" t="s">
        <v>409</v>
      </c>
      <c r="J7" s="50">
        <v>45698</v>
      </c>
    </row>
    <row r="8" spans="1:10" ht="24.95" customHeight="1">
      <c r="A8" s="39">
        <f t="shared" ref="A8:A27" si="0">ROW()-6</f>
        <v>2</v>
      </c>
      <c r="B8" s="38">
        <v>2025</v>
      </c>
      <c r="C8" s="51"/>
      <c r="D8" s="52">
        <v>45698</v>
      </c>
      <c r="E8" s="44" t="s">
        <v>448</v>
      </c>
      <c r="F8" s="44" t="s">
        <v>126</v>
      </c>
      <c r="G8" s="44" t="s">
        <v>432</v>
      </c>
      <c r="H8" s="53" t="s">
        <v>412</v>
      </c>
      <c r="I8" s="44" t="s">
        <v>409</v>
      </c>
      <c r="J8" s="62">
        <v>45698</v>
      </c>
    </row>
    <row r="9" spans="1:10" ht="24.95" customHeight="1">
      <c r="A9" s="39">
        <f t="shared" si="0"/>
        <v>3</v>
      </c>
      <c r="B9" s="38">
        <v>2025</v>
      </c>
      <c r="C9" s="51"/>
      <c r="D9" s="52">
        <v>45698</v>
      </c>
      <c r="E9" s="44" t="s">
        <v>430</v>
      </c>
      <c r="F9" s="44" t="s">
        <v>43</v>
      </c>
      <c r="G9" s="44" t="s">
        <v>433</v>
      </c>
      <c r="H9" s="53" t="s">
        <v>412</v>
      </c>
      <c r="I9" s="44" t="s">
        <v>409</v>
      </c>
      <c r="J9" s="62">
        <v>45698</v>
      </c>
    </row>
    <row r="10" spans="1:10" ht="24.95" customHeight="1">
      <c r="A10" s="39">
        <f t="shared" si="0"/>
        <v>4</v>
      </c>
      <c r="B10" s="38">
        <v>2025</v>
      </c>
      <c r="C10" s="51"/>
      <c r="D10" s="52">
        <v>45698</v>
      </c>
      <c r="E10" s="44" t="s">
        <v>434</v>
      </c>
      <c r="F10" s="44" t="s">
        <v>37</v>
      </c>
      <c r="G10" s="44" t="s">
        <v>435</v>
      </c>
      <c r="H10" s="53" t="s">
        <v>436</v>
      </c>
      <c r="I10" s="44" t="s">
        <v>221</v>
      </c>
      <c r="J10" s="62">
        <v>45698</v>
      </c>
    </row>
    <row r="11" spans="1:10" ht="24.95" customHeight="1">
      <c r="A11" s="89">
        <f t="shared" si="0"/>
        <v>5</v>
      </c>
      <c r="B11" s="90">
        <v>2025</v>
      </c>
      <c r="C11" s="91" t="s">
        <v>34</v>
      </c>
      <c r="D11" s="92">
        <v>45771</v>
      </c>
      <c r="E11" s="93" t="s">
        <v>437</v>
      </c>
      <c r="F11" s="93" t="s">
        <v>28</v>
      </c>
      <c r="G11" s="93" t="s">
        <v>438</v>
      </c>
      <c r="H11" s="94" t="s">
        <v>359</v>
      </c>
      <c r="I11" s="93" t="s">
        <v>221</v>
      </c>
      <c r="J11" s="95">
        <v>45775</v>
      </c>
    </row>
    <row r="12" spans="1:10" ht="24.95" customHeight="1">
      <c r="A12" s="89">
        <f t="shared" si="0"/>
        <v>6</v>
      </c>
      <c r="B12" s="90">
        <v>2025</v>
      </c>
      <c r="C12" s="91" t="s">
        <v>34</v>
      </c>
      <c r="D12" s="92">
        <v>45771</v>
      </c>
      <c r="E12" s="93" t="s">
        <v>437</v>
      </c>
      <c r="F12" s="93" t="s">
        <v>89</v>
      </c>
      <c r="G12" s="93" t="s">
        <v>439</v>
      </c>
      <c r="H12" s="94" t="s">
        <v>396</v>
      </c>
      <c r="I12" s="93" t="s">
        <v>377</v>
      </c>
      <c r="J12" s="95">
        <v>45775</v>
      </c>
    </row>
    <row r="13" spans="1:10" ht="24.95" customHeight="1">
      <c r="A13" s="89">
        <f t="shared" si="0"/>
        <v>7</v>
      </c>
      <c r="B13" s="90">
        <v>2025</v>
      </c>
      <c r="C13" s="91" t="s">
        <v>34</v>
      </c>
      <c r="D13" s="92">
        <v>45771</v>
      </c>
      <c r="E13" s="93" t="s">
        <v>437</v>
      </c>
      <c r="F13" s="93" t="s">
        <v>154</v>
      </c>
      <c r="G13" s="93" t="s">
        <v>440</v>
      </c>
      <c r="H13" s="94" t="s">
        <v>396</v>
      </c>
      <c r="I13" s="93" t="s">
        <v>221</v>
      </c>
      <c r="J13" s="95">
        <v>45775</v>
      </c>
    </row>
    <row r="14" spans="1:10" ht="24.95" customHeight="1">
      <c r="A14" s="39">
        <f t="shared" si="0"/>
        <v>8</v>
      </c>
      <c r="B14" s="38">
        <v>2025</v>
      </c>
      <c r="C14" s="51"/>
      <c r="D14" s="52">
        <v>45800</v>
      </c>
      <c r="E14" s="44" t="s">
        <v>441</v>
      </c>
      <c r="F14" s="44" t="s">
        <v>28</v>
      </c>
      <c r="G14" s="44" t="s">
        <v>442</v>
      </c>
      <c r="H14" s="53" t="s">
        <v>359</v>
      </c>
      <c r="I14" s="44" t="s">
        <v>409</v>
      </c>
      <c r="J14" s="62">
        <v>45800</v>
      </c>
    </row>
    <row r="15" spans="1:10" ht="24.95" customHeight="1">
      <c r="A15" s="39">
        <f t="shared" si="0"/>
        <v>9</v>
      </c>
      <c r="B15" s="38">
        <v>2025</v>
      </c>
      <c r="C15" s="51"/>
      <c r="D15" s="52">
        <v>45800</v>
      </c>
      <c r="E15" s="44" t="s">
        <v>441</v>
      </c>
      <c r="F15" s="44" t="s">
        <v>89</v>
      </c>
      <c r="G15" s="44" t="s">
        <v>443</v>
      </c>
      <c r="H15" s="53" t="s">
        <v>445</v>
      </c>
      <c r="I15" s="44" t="s">
        <v>221</v>
      </c>
      <c r="J15" s="62">
        <v>45800</v>
      </c>
    </row>
    <row r="16" spans="1:10" ht="24.95" customHeight="1">
      <c r="A16" s="39">
        <f t="shared" si="0"/>
        <v>10</v>
      </c>
      <c r="B16" s="38">
        <v>2025</v>
      </c>
      <c r="C16" s="51"/>
      <c r="D16" s="52">
        <v>45800</v>
      </c>
      <c r="E16" s="44" t="s">
        <v>441</v>
      </c>
      <c r="F16" s="44" t="s">
        <v>14</v>
      </c>
      <c r="G16" s="44" t="s">
        <v>444</v>
      </c>
      <c r="H16" s="53" t="s">
        <v>445</v>
      </c>
      <c r="I16" s="44" t="s">
        <v>221</v>
      </c>
      <c r="J16" s="62">
        <v>45800</v>
      </c>
    </row>
    <row r="17" spans="1:10" ht="24.95" customHeight="1">
      <c r="A17" s="89">
        <f t="shared" si="0"/>
        <v>11</v>
      </c>
      <c r="B17" s="90">
        <v>2025</v>
      </c>
      <c r="C17" s="91"/>
      <c r="D17" s="92">
        <v>45800</v>
      </c>
      <c r="E17" s="93" t="s">
        <v>373</v>
      </c>
      <c r="F17" s="93" t="s">
        <v>50</v>
      </c>
      <c r="G17" s="93" t="s">
        <v>446</v>
      </c>
      <c r="H17" s="94" t="s">
        <v>447</v>
      </c>
      <c r="I17" s="93" t="s">
        <v>377</v>
      </c>
      <c r="J17" s="95">
        <v>45800</v>
      </c>
    </row>
    <row r="18" spans="1:10" ht="24.95" customHeight="1">
      <c r="A18" s="39">
        <f t="shared" si="0"/>
        <v>12</v>
      </c>
      <c r="B18" s="38">
        <v>2025</v>
      </c>
      <c r="C18" s="51"/>
      <c r="D18" s="52">
        <v>45800</v>
      </c>
      <c r="E18" s="44" t="s">
        <v>450</v>
      </c>
      <c r="F18" s="44" t="s">
        <v>50</v>
      </c>
      <c r="G18" s="44" t="s">
        <v>286</v>
      </c>
      <c r="H18" s="53" t="s">
        <v>451</v>
      </c>
      <c r="I18" s="44" t="s">
        <v>377</v>
      </c>
      <c r="J18" s="62">
        <v>45800</v>
      </c>
    </row>
    <row r="19" spans="1:10" ht="24.95" customHeight="1">
      <c r="A19" s="39">
        <f t="shared" si="0"/>
        <v>13</v>
      </c>
      <c r="B19" s="38">
        <v>2025</v>
      </c>
      <c r="C19" s="51"/>
      <c r="D19" s="52">
        <v>45800</v>
      </c>
      <c r="E19" s="44" t="s">
        <v>452</v>
      </c>
      <c r="F19" s="44" t="s">
        <v>50</v>
      </c>
      <c r="G19" s="44" t="s">
        <v>453</v>
      </c>
      <c r="H19" s="53" t="s">
        <v>412</v>
      </c>
      <c r="I19" s="44" t="s">
        <v>409</v>
      </c>
      <c r="J19" s="62">
        <v>45800</v>
      </c>
    </row>
    <row r="20" spans="1:10" ht="24.95" customHeight="1">
      <c r="A20" s="89">
        <f t="shared" si="0"/>
        <v>14</v>
      </c>
      <c r="B20" s="90">
        <v>2025</v>
      </c>
      <c r="C20" s="91" t="s">
        <v>34</v>
      </c>
      <c r="D20" s="92">
        <v>45862</v>
      </c>
      <c r="E20" s="93" t="s">
        <v>454</v>
      </c>
      <c r="F20" s="93" t="s">
        <v>43</v>
      </c>
      <c r="G20" s="93" t="s">
        <v>455</v>
      </c>
      <c r="H20" s="94" t="s">
        <v>459</v>
      </c>
      <c r="I20" s="93" t="s">
        <v>465</v>
      </c>
      <c r="J20" s="95">
        <v>45901</v>
      </c>
    </row>
    <row r="21" spans="1:10" ht="24.95" customHeight="1">
      <c r="A21" s="89">
        <f t="shared" si="0"/>
        <v>15</v>
      </c>
      <c r="B21" s="90">
        <v>2025</v>
      </c>
      <c r="C21" s="91" t="s">
        <v>34</v>
      </c>
      <c r="D21" s="92">
        <v>45862</v>
      </c>
      <c r="E21" s="93" t="s">
        <v>454</v>
      </c>
      <c r="F21" s="93" t="s">
        <v>37</v>
      </c>
      <c r="G21" s="93" t="s">
        <v>456</v>
      </c>
      <c r="H21" s="94" t="s">
        <v>459</v>
      </c>
      <c r="I21" s="93" t="s">
        <v>377</v>
      </c>
      <c r="J21" s="95">
        <v>45901</v>
      </c>
    </row>
    <row r="22" spans="1:10" ht="24.95" customHeight="1">
      <c r="A22" s="89">
        <f t="shared" si="0"/>
        <v>16</v>
      </c>
      <c r="B22" s="90">
        <v>2025</v>
      </c>
      <c r="C22" s="91" t="s">
        <v>34</v>
      </c>
      <c r="D22" s="92">
        <v>45862</v>
      </c>
      <c r="E22" s="93" t="s">
        <v>454</v>
      </c>
      <c r="F22" s="93" t="s">
        <v>14</v>
      </c>
      <c r="G22" s="93" t="s">
        <v>457</v>
      </c>
      <c r="H22" s="94" t="s">
        <v>460</v>
      </c>
      <c r="I22" s="93" t="s">
        <v>253</v>
      </c>
      <c r="J22" s="95">
        <v>45901</v>
      </c>
    </row>
    <row r="23" spans="1:10" ht="24.95" customHeight="1">
      <c r="A23" s="89">
        <f t="shared" si="0"/>
        <v>17</v>
      </c>
      <c r="B23" s="90">
        <v>2025</v>
      </c>
      <c r="C23" s="91" t="s">
        <v>34</v>
      </c>
      <c r="D23" s="92">
        <v>45862</v>
      </c>
      <c r="E23" s="93" t="s">
        <v>454</v>
      </c>
      <c r="F23" s="93" t="s">
        <v>14</v>
      </c>
      <c r="G23" s="93" t="s">
        <v>458</v>
      </c>
      <c r="H23" s="94" t="s">
        <v>445</v>
      </c>
      <c r="I23" s="93" t="s">
        <v>253</v>
      </c>
      <c r="J23" s="95">
        <v>45901</v>
      </c>
    </row>
    <row r="24" spans="1:10" ht="24.95" customHeight="1">
      <c r="A24" s="39">
        <f t="shared" si="0"/>
        <v>18</v>
      </c>
      <c r="B24" s="38">
        <v>2025</v>
      </c>
      <c r="C24" s="51"/>
      <c r="D24" s="52">
        <v>45867</v>
      </c>
      <c r="E24" s="44" t="s">
        <v>449</v>
      </c>
      <c r="F24" s="44" t="s">
        <v>50</v>
      </c>
      <c r="G24" s="44" t="s">
        <v>135</v>
      </c>
      <c r="H24" s="53" t="s">
        <v>462</v>
      </c>
      <c r="I24" s="43" t="s">
        <v>17</v>
      </c>
      <c r="J24" s="62">
        <v>45867</v>
      </c>
    </row>
    <row r="25" spans="1:10" ht="24.95" customHeight="1">
      <c r="A25" s="39">
        <f t="shared" si="0"/>
        <v>19</v>
      </c>
      <c r="B25" s="38">
        <v>2025</v>
      </c>
      <c r="C25" s="51"/>
      <c r="D25" s="68">
        <v>45880</v>
      </c>
      <c r="E25" s="44" t="s">
        <v>452</v>
      </c>
      <c r="F25" s="44" t="s">
        <v>358</v>
      </c>
      <c r="G25" s="44" t="s">
        <v>463</v>
      </c>
      <c r="H25" s="53" t="s">
        <v>464</v>
      </c>
      <c r="I25" s="71" t="s">
        <v>385</v>
      </c>
      <c r="J25" s="73">
        <v>45880</v>
      </c>
    </row>
    <row r="26" spans="1:10" ht="24.95" customHeight="1">
      <c r="A26" s="39">
        <f t="shared" si="0"/>
        <v>20</v>
      </c>
      <c r="B26" s="38">
        <v>2025</v>
      </c>
      <c r="C26" s="51"/>
      <c r="D26" s="68">
        <v>45880</v>
      </c>
      <c r="E26" s="44" t="s">
        <v>452</v>
      </c>
      <c r="F26" s="44" t="s">
        <v>50</v>
      </c>
      <c r="G26" s="44" t="s">
        <v>453</v>
      </c>
      <c r="H26" s="53" t="s">
        <v>464</v>
      </c>
      <c r="I26" s="71" t="s">
        <v>221</v>
      </c>
      <c r="J26" s="73">
        <v>45880</v>
      </c>
    </row>
    <row r="27" spans="1:10" s="114" customFormat="1" ht="24.95" customHeight="1" thickBot="1">
      <c r="A27" s="97">
        <f t="shared" si="0"/>
        <v>21</v>
      </c>
      <c r="B27" s="98">
        <v>2025</v>
      </c>
      <c r="C27" s="99" t="s">
        <v>34</v>
      </c>
      <c r="D27" s="100">
        <v>45903</v>
      </c>
      <c r="E27" s="101" t="s">
        <v>454</v>
      </c>
      <c r="F27" s="101" t="s">
        <v>14</v>
      </c>
      <c r="G27" s="101" t="s">
        <v>458</v>
      </c>
      <c r="H27" s="102" t="s">
        <v>466</v>
      </c>
      <c r="I27" s="101" t="s">
        <v>467</v>
      </c>
      <c r="J27" s="103">
        <v>45903</v>
      </c>
    </row>
  </sheetData>
  <mergeCells count="11">
    <mergeCell ref="J5:J6"/>
    <mergeCell ref="A3:J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300" r:id="rId1"/>
  <headerFooter>
    <oddFooter>&amp;L서식 경영지원 2018-100-009 REV.1&amp;C미성엠프로(주)&amp;RA4(210×297mm)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2:U37"/>
  <sheetViews>
    <sheetView tabSelected="1" showWhiteSpace="0" zoomScaleNormal="100" workbookViewId="0">
      <pane ySplit="7" topLeftCell="A32" activePane="bottomLeft" state="frozen"/>
      <selection pane="bottomLeft" activeCell="H39" sqref="H39"/>
    </sheetView>
  </sheetViews>
  <sheetFormatPr defaultRowHeight="16.5"/>
  <cols>
    <col min="1" max="2" width="5.625" customWidth="1"/>
    <col min="3" max="3" width="6.625" customWidth="1"/>
    <col min="4" max="4" width="12.625" customWidth="1"/>
    <col min="5" max="5" width="15.625" customWidth="1"/>
    <col min="6" max="6" width="8.625" customWidth="1"/>
    <col min="7" max="7" width="10.625" customWidth="1"/>
    <col min="8" max="8" width="30.625" customWidth="1"/>
    <col min="9" max="9" width="12.5" bestFit="1" customWidth="1"/>
    <col min="10" max="10" width="12.625" customWidth="1"/>
  </cols>
  <sheetData>
    <row r="2" spans="1:21">
      <c r="A2" s="1" t="s">
        <v>0</v>
      </c>
      <c r="B2" s="1"/>
      <c r="C2" s="1"/>
    </row>
    <row r="3" spans="1:21" ht="26.25">
      <c r="A3" s="127" t="s">
        <v>210</v>
      </c>
      <c r="B3" s="127"/>
      <c r="C3" s="127"/>
      <c r="D3" s="127"/>
      <c r="E3" s="127"/>
      <c r="F3" s="127"/>
      <c r="G3" s="127"/>
      <c r="H3" s="127"/>
      <c r="I3" s="127"/>
      <c r="J3" s="127"/>
    </row>
    <row r="4" spans="1:21" ht="17.25" thickBot="1">
      <c r="A4" s="22" t="s">
        <v>212</v>
      </c>
      <c r="B4" s="22"/>
      <c r="C4" s="2"/>
    </row>
    <row r="5" spans="1:21" ht="21.95" customHeight="1" thickBot="1">
      <c r="A5" s="132" t="s">
        <v>2</v>
      </c>
      <c r="B5" s="134" t="s">
        <v>211</v>
      </c>
      <c r="C5" s="134" t="s">
        <v>33</v>
      </c>
      <c r="D5" s="134" t="s">
        <v>3</v>
      </c>
      <c r="E5" s="134" t="s">
        <v>4</v>
      </c>
      <c r="F5" s="134" t="s">
        <v>5</v>
      </c>
      <c r="G5" s="134" t="s">
        <v>6</v>
      </c>
      <c r="H5" s="134" t="s">
        <v>7</v>
      </c>
      <c r="I5" s="134" t="s">
        <v>8</v>
      </c>
      <c r="J5" s="130" t="s">
        <v>9</v>
      </c>
      <c r="L5" s="105" t="s">
        <v>380</v>
      </c>
      <c r="M5" s="106" t="s">
        <v>381</v>
      </c>
      <c r="N5" s="106" t="s">
        <v>385</v>
      </c>
      <c r="O5" s="106" t="s">
        <v>382</v>
      </c>
      <c r="P5" s="106" t="s">
        <v>383</v>
      </c>
      <c r="Q5" s="106" t="s">
        <v>384</v>
      </c>
      <c r="R5" s="106" t="s">
        <v>253</v>
      </c>
      <c r="S5" s="106" t="s">
        <v>404</v>
      </c>
      <c r="T5" s="106" t="s">
        <v>262</v>
      </c>
      <c r="U5" s="107" t="s">
        <v>461</v>
      </c>
    </row>
    <row r="6" spans="1:21" ht="21.95" customHeight="1" thickBot="1">
      <c r="A6" s="133"/>
      <c r="B6" s="135"/>
      <c r="C6" s="135"/>
      <c r="D6" s="135"/>
      <c r="E6" s="135"/>
      <c r="F6" s="135"/>
      <c r="G6" s="135"/>
      <c r="H6" s="135"/>
      <c r="I6" s="135"/>
      <c r="J6" s="131"/>
      <c r="L6" s="105">
        <f>SUMIF($I$8:$I$37,"훈계*",$K$8:$K$37)</f>
        <v>0</v>
      </c>
      <c r="M6" s="106">
        <f>SUMIF($I$8:$I$37,"견책*",$K$8:$K$37)</f>
        <v>4</v>
      </c>
      <c r="N6" s="106">
        <f>SUMIF($I$8:$I$37,"경고*",$K$8:$K$37)</f>
        <v>15</v>
      </c>
      <c r="O6" s="106">
        <f>SUMIF($I$8:$I$37,"감봉*",$K$8:$K$37)</f>
        <v>3</v>
      </c>
      <c r="P6" s="106">
        <f>SUMIF($I$8:$I$37,"강등*",$K$8:$K$37)</f>
        <v>0</v>
      </c>
      <c r="Q6" s="106">
        <f>SUMIF($I$8:$I$37,"정직*",$K$8:$K$37)</f>
        <v>0</v>
      </c>
      <c r="R6" s="106">
        <f>SUMIF($I$8:$I$37,"해고*",$K$8:$K$37)</f>
        <v>2</v>
      </c>
      <c r="S6" s="106">
        <f>SUMIF($I$8:$I$37,"전배*",$K$8:$K$37)</f>
        <v>0</v>
      </c>
      <c r="T6" s="106">
        <f>SUMIF($I$8:$I$37,"권고사직*",$K$8:$K$37)</f>
        <v>0</v>
      </c>
      <c r="U6" s="107">
        <f>SUM(L6:T6)</f>
        <v>24</v>
      </c>
    </row>
    <row r="7" spans="1:21" ht="21.95" customHeight="1" thickTop="1">
      <c r="A7" s="64"/>
      <c r="B7" s="65"/>
      <c r="C7" s="65"/>
      <c r="D7" s="65"/>
      <c r="E7" s="65"/>
      <c r="F7" s="65"/>
      <c r="G7" s="65"/>
      <c r="H7" s="65"/>
      <c r="I7" s="65"/>
      <c r="J7" s="66"/>
    </row>
    <row r="8" spans="1:21" ht="24.95" customHeight="1">
      <c r="A8" s="82">
        <f t="shared" ref="A8:A37" si="0">ROW()-7</f>
        <v>1</v>
      </c>
      <c r="B8" s="83">
        <v>2026</v>
      </c>
      <c r="C8" s="84"/>
      <c r="D8" s="85">
        <v>46120</v>
      </c>
      <c r="E8" s="86" t="s">
        <v>469</v>
      </c>
      <c r="F8" s="86" t="s">
        <v>418</v>
      </c>
      <c r="G8" s="86" t="s">
        <v>471</v>
      </c>
      <c r="H8" s="87" t="s">
        <v>487</v>
      </c>
      <c r="I8" s="86" t="s">
        <v>385</v>
      </c>
      <c r="J8" s="88">
        <v>46120</v>
      </c>
      <c r="K8">
        <v>1</v>
      </c>
    </row>
    <row r="9" spans="1:21" ht="24.95" customHeight="1">
      <c r="A9" s="39">
        <f t="shared" si="0"/>
        <v>2</v>
      </c>
      <c r="B9" s="69">
        <v>2026</v>
      </c>
      <c r="C9" s="70"/>
      <c r="D9" s="68">
        <v>46120</v>
      </c>
      <c r="E9" s="71" t="s">
        <v>360</v>
      </c>
      <c r="F9" s="71" t="s">
        <v>28</v>
      </c>
      <c r="G9" s="71" t="s">
        <v>386</v>
      </c>
      <c r="H9" s="72" t="s">
        <v>487</v>
      </c>
      <c r="I9" s="71" t="s">
        <v>221</v>
      </c>
      <c r="J9" s="73">
        <v>46120</v>
      </c>
      <c r="K9">
        <v>1</v>
      </c>
    </row>
    <row r="10" spans="1:21" ht="24.95" customHeight="1">
      <c r="A10" s="39">
        <f t="shared" si="0"/>
        <v>3</v>
      </c>
      <c r="B10" s="69">
        <v>2026</v>
      </c>
      <c r="C10" s="70"/>
      <c r="D10" s="68">
        <v>46120</v>
      </c>
      <c r="E10" s="71" t="s">
        <v>360</v>
      </c>
      <c r="F10" s="71" t="s">
        <v>179</v>
      </c>
      <c r="G10" s="71" t="s">
        <v>29</v>
      </c>
      <c r="H10" s="72" t="s">
        <v>487</v>
      </c>
      <c r="I10" s="71" t="s">
        <v>409</v>
      </c>
      <c r="J10" s="73">
        <v>46120</v>
      </c>
      <c r="K10">
        <v>1</v>
      </c>
    </row>
    <row r="11" spans="1:21" ht="24.95" customHeight="1">
      <c r="A11" s="81">
        <f t="shared" si="0"/>
        <v>4</v>
      </c>
      <c r="B11" s="69">
        <v>2026</v>
      </c>
      <c r="C11" s="70"/>
      <c r="D11" s="68">
        <v>46120</v>
      </c>
      <c r="E11" s="71" t="s">
        <v>452</v>
      </c>
      <c r="F11" s="71" t="s">
        <v>50</v>
      </c>
      <c r="G11" s="71" t="s">
        <v>474</v>
      </c>
      <c r="H11" s="72" t="s">
        <v>487</v>
      </c>
      <c r="I11" s="71" t="s">
        <v>409</v>
      </c>
      <c r="J11" s="73">
        <v>46120</v>
      </c>
      <c r="K11">
        <v>1</v>
      </c>
    </row>
    <row r="12" spans="1:21" ht="24.95" customHeight="1">
      <c r="A12" s="89">
        <f t="shared" si="0"/>
        <v>5</v>
      </c>
      <c r="B12" s="90">
        <v>2026</v>
      </c>
      <c r="C12" s="91"/>
      <c r="D12" s="92">
        <v>46120</v>
      </c>
      <c r="E12" s="93" t="s">
        <v>472</v>
      </c>
      <c r="F12" s="93" t="s">
        <v>28</v>
      </c>
      <c r="G12" s="93" t="s">
        <v>473</v>
      </c>
      <c r="H12" s="94" t="s">
        <v>487</v>
      </c>
      <c r="I12" s="93" t="s">
        <v>409</v>
      </c>
      <c r="J12" s="95">
        <v>46120</v>
      </c>
      <c r="K12">
        <v>1</v>
      </c>
    </row>
    <row r="13" spans="1:21" ht="24.95" customHeight="1">
      <c r="A13" s="89">
        <f t="shared" si="0"/>
        <v>6</v>
      </c>
      <c r="B13" s="90">
        <v>2026</v>
      </c>
      <c r="C13" s="91"/>
      <c r="D13" s="92">
        <v>46120</v>
      </c>
      <c r="E13" s="93" t="s">
        <v>450</v>
      </c>
      <c r="F13" s="93" t="s">
        <v>475</v>
      </c>
      <c r="G13" s="93" t="s">
        <v>476</v>
      </c>
      <c r="H13" s="94" t="s">
        <v>487</v>
      </c>
      <c r="I13" s="93" t="s">
        <v>409</v>
      </c>
      <c r="J13" s="95">
        <v>46120</v>
      </c>
      <c r="K13">
        <v>1</v>
      </c>
    </row>
    <row r="14" spans="1:21" ht="24.95" customHeight="1">
      <c r="A14" s="39">
        <f t="shared" si="0"/>
        <v>7</v>
      </c>
      <c r="B14" s="69">
        <v>2026</v>
      </c>
      <c r="C14" s="70"/>
      <c r="D14" s="68">
        <v>46120</v>
      </c>
      <c r="E14" s="71" t="s">
        <v>477</v>
      </c>
      <c r="F14" s="71" t="s">
        <v>28</v>
      </c>
      <c r="G14" s="71" t="s">
        <v>478</v>
      </c>
      <c r="H14" s="72" t="s">
        <v>487</v>
      </c>
      <c r="I14" s="71" t="s">
        <v>409</v>
      </c>
      <c r="J14" s="73">
        <v>46120</v>
      </c>
      <c r="K14">
        <v>1</v>
      </c>
    </row>
    <row r="15" spans="1:21" ht="24.95" customHeight="1">
      <c r="A15" s="39">
        <f t="shared" si="0"/>
        <v>8</v>
      </c>
      <c r="B15" s="69">
        <v>2026</v>
      </c>
      <c r="C15" s="70"/>
      <c r="D15" s="68">
        <v>46120</v>
      </c>
      <c r="E15" s="71" t="s">
        <v>452</v>
      </c>
      <c r="F15" s="71" t="s">
        <v>50</v>
      </c>
      <c r="G15" s="71" t="s">
        <v>453</v>
      </c>
      <c r="H15" s="72" t="s">
        <v>487</v>
      </c>
      <c r="I15" s="71" t="s">
        <v>409</v>
      </c>
      <c r="J15" s="73">
        <v>46120</v>
      </c>
      <c r="K15">
        <v>1</v>
      </c>
    </row>
    <row r="16" spans="1:21" ht="24.95" customHeight="1">
      <c r="A16" s="39">
        <f t="shared" si="0"/>
        <v>9</v>
      </c>
      <c r="B16" s="69">
        <v>2026</v>
      </c>
      <c r="C16" s="70"/>
      <c r="D16" s="68">
        <v>46120</v>
      </c>
      <c r="E16" s="71" t="s">
        <v>479</v>
      </c>
      <c r="F16" s="71" t="s">
        <v>28</v>
      </c>
      <c r="G16" s="71" t="s">
        <v>480</v>
      </c>
      <c r="H16" s="72" t="s">
        <v>487</v>
      </c>
      <c r="I16" s="71" t="s">
        <v>409</v>
      </c>
      <c r="J16" s="73">
        <v>46120</v>
      </c>
      <c r="K16">
        <v>1</v>
      </c>
    </row>
    <row r="17" spans="1:14" ht="24.95" customHeight="1">
      <c r="A17" s="39">
        <f t="shared" si="0"/>
        <v>10</v>
      </c>
      <c r="B17" s="69">
        <v>2026</v>
      </c>
      <c r="C17" s="70"/>
      <c r="D17" s="68">
        <v>46120</v>
      </c>
      <c r="E17" s="71" t="s">
        <v>449</v>
      </c>
      <c r="F17" s="71" t="s">
        <v>126</v>
      </c>
      <c r="G17" s="71" t="s">
        <v>481</v>
      </c>
      <c r="H17" s="72" t="s">
        <v>487</v>
      </c>
      <c r="I17" s="71" t="s">
        <v>409</v>
      </c>
      <c r="J17" s="73">
        <v>46120</v>
      </c>
      <c r="K17">
        <v>1</v>
      </c>
    </row>
    <row r="18" spans="1:14" ht="24.95" customHeight="1">
      <c r="A18" s="89">
        <f t="shared" si="0"/>
        <v>11</v>
      </c>
      <c r="B18" s="90">
        <v>2026</v>
      </c>
      <c r="C18" s="91"/>
      <c r="D18" s="92">
        <v>46120</v>
      </c>
      <c r="E18" s="93" t="s">
        <v>468</v>
      </c>
      <c r="F18" s="93" t="s">
        <v>470</v>
      </c>
      <c r="G18" s="93" t="s">
        <v>482</v>
      </c>
      <c r="H18" s="94" t="s">
        <v>487</v>
      </c>
      <c r="I18" s="93" t="s">
        <v>409</v>
      </c>
      <c r="J18" s="95">
        <v>46120</v>
      </c>
      <c r="K18">
        <v>1</v>
      </c>
    </row>
    <row r="19" spans="1:14" ht="24.95" customHeight="1">
      <c r="A19" s="39">
        <f t="shared" si="0"/>
        <v>12</v>
      </c>
      <c r="B19" s="69">
        <v>2026</v>
      </c>
      <c r="C19" s="70"/>
      <c r="D19" s="68">
        <v>46120</v>
      </c>
      <c r="E19" s="71" t="s">
        <v>483</v>
      </c>
      <c r="F19" s="71" t="s">
        <v>28</v>
      </c>
      <c r="G19" s="71" t="s">
        <v>484</v>
      </c>
      <c r="H19" s="72" t="s">
        <v>487</v>
      </c>
      <c r="I19" s="71" t="s">
        <v>409</v>
      </c>
      <c r="J19" s="73">
        <v>46120</v>
      </c>
      <c r="K19">
        <v>1</v>
      </c>
    </row>
    <row r="20" spans="1:14" ht="24.95" customHeight="1">
      <c r="A20" s="39">
        <f t="shared" si="0"/>
        <v>13</v>
      </c>
      <c r="B20" s="69">
        <v>2026</v>
      </c>
      <c r="C20" s="70"/>
      <c r="D20" s="68">
        <v>46120</v>
      </c>
      <c r="E20" s="71" t="s">
        <v>452</v>
      </c>
      <c r="F20" s="71" t="s">
        <v>50</v>
      </c>
      <c r="G20" s="71" t="s">
        <v>453</v>
      </c>
      <c r="H20" s="72" t="s">
        <v>487</v>
      </c>
      <c r="I20" s="71" t="s">
        <v>409</v>
      </c>
      <c r="J20" s="73">
        <v>46120</v>
      </c>
      <c r="K20">
        <v>1</v>
      </c>
    </row>
    <row r="21" spans="1:14" ht="24.95" customHeight="1">
      <c r="A21" s="39">
        <f t="shared" si="0"/>
        <v>14</v>
      </c>
      <c r="B21" s="69">
        <v>2026</v>
      </c>
      <c r="C21" s="70"/>
      <c r="D21" s="68">
        <v>46120</v>
      </c>
      <c r="E21" s="71" t="s">
        <v>485</v>
      </c>
      <c r="F21" s="71" t="s">
        <v>28</v>
      </c>
      <c r="G21" s="71" t="s">
        <v>486</v>
      </c>
      <c r="H21" s="72" t="s">
        <v>487</v>
      </c>
      <c r="I21" s="71" t="s">
        <v>409</v>
      </c>
      <c r="J21" s="73">
        <v>46120</v>
      </c>
      <c r="K21">
        <v>1</v>
      </c>
    </row>
    <row r="22" spans="1:14" ht="24.95" customHeight="1">
      <c r="A22" s="39">
        <f t="shared" si="0"/>
        <v>15</v>
      </c>
      <c r="B22" s="69">
        <v>2026</v>
      </c>
      <c r="C22" s="70"/>
      <c r="D22" s="68">
        <v>46120</v>
      </c>
      <c r="E22" s="71" t="s">
        <v>452</v>
      </c>
      <c r="F22" s="71" t="s">
        <v>50</v>
      </c>
      <c r="G22" s="71" t="s">
        <v>453</v>
      </c>
      <c r="H22" s="72" t="s">
        <v>487</v>
      </c>
      <c r="I22" s="71" t="s">
        <v>409</v>
      </c>
      <c r="J22" s="73">
        <v>46120</v>
      </c>
      <c r="K22">
        <v>1</v>
      </c>
    </row>
    <row r="23" spans="1:14" ht="24.95" customHeight="1">
      <c r="A23" s="89">
        <f t="shared" si="0"/>
        <v>16</v>
      </c>
      <c r="B23" s="90">
        <v>2026</v>
      </c>
      <c r="C23" s="91" t="s">
        <v>394</v>
      </c>
      <c r="D23" s="92">
        <v>46127</v>
      </c>
      <c r="E23" s="93" t="s">
        <v>449</v>
      </c>
      <c r="F23" s="93" t="s">
        <v>126</v>
      </c>
      <c r="G23" s="93" t="s">
        <v>481</v>
      </c>
      <c r="H23" s="94" t="s">
        <v>490</v>
      </c>
      <c r="I23" s="93" t="s">
        <v>221</v>
      </c>
      <c r="J23" s="95">
        <v>46127</v>
      </c>
      <c r="K23">
        <v>1</v>
      </c>
    </row>
    <row r="24" spans="1:14" ht="24.95" customHeight="1">
      <c r="A24" s="39">
        <f t="shared" si="0"/>
        <v>17</v>
      </c>
      <c r="B24" s="69">
        <v>2026</v>
      </c>
      <c r="C24" s="70" t="s">
        <v>394</v>
      </c>
      <c r="D24" s="68">
        <v>46127</v>
      </c>
      <c r="E24" s="71" t="s">
        <v>236</v>
      </c>
      <c r="F24" s="71" t="s">
        <v>28</v>
      </c>
      <c r="G24" s="71" t="s">
        <v>240</v>
      </c>
      <c r="H24" s="72" t="s">
        <v>490</v>
      </c>
      <c r="I24" s="71" t="s">
        <v>491</v>
      </c>
      <c r="J24" s="73">
        <v>46127</v>
      </c>
      <c r="K24">
        <v>1</v>
      </c>
    </row>
    <row r="25" spans="1:14" ht="24.95" customHeight="1">
      <c r="A25" s="39">
        <f t="shared" si="0"/>
        <v>18</v>
      </c>
      <c r="B25" s="69">
        <v>2026</v>
      </c>
      <c r="C25" s="70" t="s">
        <v>394</v>
      </c>
      <c r="D25" s="68">
        <v>46127</v>
      </c>
      <c r="E25" s="71" t="s">
        <v>236</v>
      </c>
      <c r="F25" s="71" t="s">
        <v>14</v>
      </c>
      <c r="G25" s="71" t="s">
        <v>488</v>
      </c>
      <c r="H25" s="72" t="s">
        <v>490</v>
      </c>
      <c r="I25" s="71" t="s">
        <v>492</v>
      </c>
      <c r="J25" s="73">
        <v>46127</v>
      </c>
      <c r="K25">
        <v>1</v>
      </c>
    </row>
    <row r="26" spans="1:14" ht="24.95" customHeight="1">
      <c r="A26" s="39">
        <f t="shared" si="0"/>
        <v>19</v>
      </c>
      <c r="B26" s="69">
        <v>2026</v>
      </c>
      <c r="C26" s="70" t="s">
        <v>394</v>
      </c>
      <c r="D26" s="68">
        <v>46127</v>
      </c>
      <c r="E26" s="71" t="s">
        <v>236</v>
      </c>
      <c r="F26" s="71" t="s">
        <v>14</v>
      </c>
      <c r="G26" s="71" t="s">
        <v>489</v>
      </c>
      <c r="H26" s="72" t="s">
        <v>490</v>
      </c>
      <c r="I26" s="71" t="s">
        <v>492</v>
      </c>
      <c r="J26" s="73">
        <v>46127</v>
      </c>
      <c r="K26">
        <v>1</v>
      </c>
    </row>
    <row r="27" spans="1:14" ht="24.95" customHeight="1">
      <c r="A27" s="115">
        <f t="shared" si="0"/>
        <v>20</v>
      </c>
      <c r="B27" s="116">
        <v>2026</v>
      </c>
      <c r="C27" s="117"/>
      <c r="D27" s="118">
        <v>46142</v>
      </c>
      <c r="E27" s="119" t="s">
        <v>483</v>
      </c>
      <c r="F27" s="119" t="s">
        <v>28</v>
      </c>
      <c r="G27" s="119" t="s">
        <v>484</v>
      </c>
      <c r="H27" s="120" t="s">
        <v>493</v>
      </c>
      <c r="I27" s="119" t="s">
        <v>409</v>
      </c>
      <c r="J27" s="121"/>
      <c r="K27" s="122"/>
      <c r="N27" s="104"/>
    </row>
    <row r="28" spans="1:14" ht="24.95" customHeight="1">
      <c r="A28" s="115">
        <f t="shared" si="0"/>
        <v>21</v>
      </c>
      <c r="B28" s="116">
        <v>2026</v>
      </c>
      <c r="C28" s="117"/>
      <c r="D28" s="118">
        <v>46142</v>
      </c>
      <c r="E28" s="119" t="s">
        <v>452</v>
      </c>
      <c r="F28" s="119" t="s">
        <v>50</v>
      </c>
      <c r="G28" s="119" t="s">
        <v>453</v>
      </c>
      <c r="H28" s="120" t="s">
        <v>493</v>
      </c>
      <c r="I28" s="119" t="s">
        <v>409</v>
      </c>
      <c r="J28" s="121"/>
      <c r="K28" s="122"/>
    </row>
    <row r="29" spans="1:14" ht="24.95" customHeight="1">
      <c r="A29" s="81">
        <f t="shared" si="0"/>
        <v>22</v>
      </c>
      <c r="B29" s="69">
        <v>2026</v>
      </c>
      <c r="C29" s="70" t="s">
        <v>394</v>
      </c>
      <c r="D29" s="68">
        <v>46150</v>
      </c>
      <c r="E29" s="71" t="s">
        <v>434</v>
      </c>
      <c r="F29" s="71" t="s">
        <v>28</v>
      </c>
      <c r="G29" s="71" t="s">
        <v>494</v>
      </c>
      <c r="H29" s="72" t="s">
        <v>496</v>
      </c>
      <c r="I29" s="71" t="s">
        <v>409</v>
      </c>
      <c r="J29" s="73">
        <v>46160</v>
      </c>
      <c r="K29">
        <v>1</v>
      </c>
    </row>
    <row r="30" spans="1:14" ht="24.95" customHeight="1">
      <c r="A30" s="81">
        <f t="shared" si="0"/>
        <v>23</v>
      </c>
      <c r="B30" s="69">
        <v>2026</v>
      </c>
      <c r="C30" s="70" t="s">
        <v>394</v>
      </c>
      <c r="D30" s="68">
        <v>46150</v>
      </c>
      <c r="E30" s="71" t="s">
        <v>434</v>
      </c>
      <c r="F30" s="71" t="s">
        <v>307</v>
      </c>
      <c r="G30" s="71" t="s">
        <v>495</v>
      </c>
      <c r="H30" s="72" t="s">
        <v>496</v>
      </c>
      <c r="I30" s="71" t="s">
        <v>500</v>
      </c>
      <c r="J30" s="73">
        <v>46160</v>
      </c>
      <c r="K30">
        <v>1</v>
      </c>
    </row>
    <row r="31" spans="1:14" ht="24.95" customHeight="1">
      <c r="A31" s="81">
        <f t="shared" si="0"/>
        <v>24</v>
      </c>
      <c r="B31" s="69">
        <v>2026</v>
      </c>
      <c r="C31" s="70" t="s">
        <v>394</v>
      </c>
      <c r="D31" s="68">
        <v>46156</v>
      </c>
      <c r="E31" s="71" t="s">
        <v>360</v>
      </c>
      <c r="F31" s="71" t="s">
        <v>28</v>
      </c>
      <c r="G31" s="71" t="s">
        <v>386</v>
      </c>
      <c r="H31" s="72" t="s">
        <v>499</v>
      </c>
      <c r="I31" s="71" t="s">
        <v>500</v>
      </c>
      <c r="J31" s="73">
        <v>46161</v>
      </c>
      <c r="K31">
        <v>1</v>
      </c>
    </row>
    <row r="32" spans="1:14" ht="24.95" customHeight="1">
      <c r="A32" s="81">
        <f t="shared" si="0"/>
        <v>25</v>
      </c>
      <c r="B32" s="69">
        <v>2026</v>
      </c>
      <c r="C32" s="70" t="s">
        <v>394</v>
      </c>
      <c r="D32" s="68">
        <v>46156</v>
      </c>
      <c r="E32" s="71" t="s">
        <v>360</v>
      </c>
      <c r="F32" s="71" t="s">
        <v>47</v>
      </c>
      <c r="G32" s="71" t="s">
        <v>497</v>
      </c>
      <c r="H32" s="72" t="s">
        <v>499</v>
      </c>
      <c r="I32" s="71" t="s">
        <v>253</v>
      </c>
      <c r="J32" s="73">
        <v>46161</v>
      </c>
      <c r="K32">
        <v>1</v>
      </c>
    </row>
    <row r="33" spans="1:11" ht="24.95" customHeight="1">
      <c r="A33" s="81">
        <f t="shared" si="0"/>
        <v>26</v>
      </c>
      <c r="B33" s="69">
        <v>2026</v>
      </c>
      <c r="C33" s="70" t="s">
        <v>394</v>
      </c>
      <c r="D33" s="68">
        <v>46156</v>
      </c>
      <c r="E33" s="71" t="s">
        <v>360</v>
      </c>
      <c r="F33" s="71" t="s">
        <v>154</v>
      </c>
      <c r="G33" s="71" t="s">
        <v>498</v>
      </c>
      <c r="H33" s="72" t="s">
        <v>499</v>
      </c>
      <c r="I33" s="71" t="s">
        <v>253</v>
      </c>
      <c r="J33" s="73">
        <v>46161</v>
      </c>
      <c r="K33">
        <v>1</v>
      </c>
    </row>
    <row r="34" spans="1:11" ht="24.95" customHeight="1">
      <c r="A34" s="39">
        <f t="shared" si="0"/>
        <v>27</v>
      </c>
      <c r="B34" s="69"/>
      <c r="C34" s="70"/>
      <c r="D34" s="68"/>
      <c r="E34" s="71"/>
      <c r="F34" s="71"/>
      <c r="G34" s="71"/>
      <c r="H34" s="72"/>
      <c r="I34" s="71"/>
      <c r="J34" s="73"/>
    </row>
    <row r="35" spans="1:11" ht="24.95" customHeight="1">
      <c r="A35" s="39">
        <f t="shared" si="0"/>
        <v>28</v>
      </c>
      <c r="B35" s="69"/>
      <c r="C35" s="70"/>
      <c r="D35" s="68"/>
      <c r="E35" s="71"/>
      <c r="F35" s="71"/>
      <c r="G35" s="71"/>
      <c r="H35" s="72"/>
      <c r="I35" s="71"/>
      <c r="J35" s="73"/>
    </row>
    <row r="36" spans="1:11" ht="24.95" customHeight="1">
      <c r="A36" s="39">
        <f t="shared" si="0"/>
        <v>29</v>
      </c>
      <c r="B36" s="38"/>
      <c r="C36" s="51"/>
      <c r="D36" s="52"/>
      <c r="E36" s="44"/>
      <c r="F36" s="44"/>
      <c r="G36" s="44"/>
      <c r="H36" s="53"/>
      <c r="I36" s="44"/>
      <c r="J36" s="62"/>
    </row>
    <row r="37" spans="1:11" ht="24.95" customHeight="1" thickBot="1">
      <c r="A37" s="40">
        <f t="shared" si="0"/>
        <v>30</v>
      </c>
      <c r="B37" s="41"/>
      <c r="C37" s="55"/>
      <c r="D37" s="56"/>
      <c r="E37" s="57"/>
      <c r="F37" s="57"/>
      <c r="G37" s="57"/>
      <c r="H37" s="58"/>
      <c r="I37" s="57"/>
      <c r="J37" s="63"/>
    </row>
  </sheetData>
  <autoFilter ref="A7:J7" xr:uid="{00000000-0009-0000-0000-000005000000}"/>
  <mergeCells count="11">
    <mergeCell ref="A3:J3"/>
    <mergeCell ref="B5:B6"/>
    <mergeCell ref="A5:A6"/>
    <mergeCell ref="C5:C6"/>
    <mergeCell ref="D5:D6"/>
    <mergeCell ref="E5:E6"/>
    <mergeCell ref="F5:F6"/>
    <mergeCell ref="G5:G6"/>
    <mergeCell ref="H5:H6"/>
    <mergeCell ref="I5:I6"/>
    <mergeCell ref="J5:J6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verticalDpi="300" r:id="rId1"/>
  <headerFooter>
    <oddFooter>&amp;L서식 경영지원 2018-100-009 REV.1&amp;C미성엠프로(주)&amp;RA4(210×297mm)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18</vt:i4>
      </vt:variant>
    </vt:vector>
  </HeadingPairs>
  <TitlesOfParts>
    <vt:vector size="27" baseType="lpstr"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  <vt:lpstr>'2018년'!Print_Area</vt:lpstr>
      <vt:lpstr>'2019년'!Print_Area</vt:lpstr>
      <vt:lpstr>'2020년'!Print_Area</vt:lpstr>
      <vt:lpstr>'2021년'!Print_Area</vt:lpstr>
      <vt:lpstr>'2022년'!Print_Area</vt:lpstr>
      <vt:lpstr>'2023년'!Print_Area</vt:lpstr>
      <vt:lpstr>'2024년'!Print_Area</vt:lpstr>
      <vt:lpstr>'2025년'!Print_Area</vt:lpstr>
      <vt:lpstr>'2026년'!Print_Area</vt:lpstr>
      <vt:lpstr>'2018년'!Print_Titles</vt:lpstr>
      <vt:lpstr>'2019년'!Print_Titles</vt:lpstr>
      <vt:lpstr>'2020년'!Print_Titles</vt:lpstr>
      <vt:lpstr>'2021년'!Print_Titles</vt:lpstr>
      <vt:lpstr>'2022년'!Print_Titles</vt:lpstr>
      <vt:lpstr>'2023년'!Print_Titles</vt:lpstr>
      <vt:lpstr>'2024년'!Print_Titles</vt:lpstr>
      <vt:lpstr>'2025년'!Print_Titles</vt:lpstr>
      <vt:lpstr>'2026년'!Print_Titles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bc.shin</dc:creator>
  <cp:lastModifiedBy>cys1000175@gmail.com</cp:lastModifiedBy>
  <cp:lastPrinted>2023-08-29T05:26:22Z</cp:lastPrinted>
  <dcterms:created xsi:type="dcterms:W3CDTF">2019-07-15T01:41:14Z</dcterms:created>
  <dcterms:modified xsi:type="dcterms:W3CDTF">2026-06-24T06:53:17Z</dcterms:modified>
</cp:coreProperties>
</file>